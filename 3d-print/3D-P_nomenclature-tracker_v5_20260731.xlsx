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Легенда" sheetId="1" state="visible" r:id="rId1"/>
    <sheet xmlns:r="http://schemas.openxmlformats.org/officeDocument/2006/relationships" name="Номенклатура" sheetId="2" state="visible" r:id="rId2"/>
    <sheet xmlns:r="http://schemas.openxmlformats.org/officeDocument/2006/relationships" name="Друк-лог" sheetId="3" state="visible" r:id="rId3"/>
    <sheet xmlns:r="http://schemas.openxmlformats.org/officeDocument/2006/relationships" name="Продажі" sheetId="4" state="visible" r:id="rId4"/>
    <sheet xmlns:r="http://schemas.openxmlformats.org/officeDocument/2006/relationships" name="Виплати" sheetId="5" state="visible" r:id="rId5"/>
    <sheet xmlns:r="http://schemas.openxmlformats.org/officeDocument/2006/relationships" name="Маркетингові_плюшки" sheetId="6" state="visible" r:id="rId6"/>
    <sheet xmlns:r="http://schemas.openxmlformats.org/officeDocument/2006/relationships" name="Наявність" sheetId="7" state="visible" r:id="rId7"/>
    <sheet xmlns:r="http://schemas.openxmlformats.org/officeDocument/2006/relationships" name="Аналітика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#,##0&quot; грн&quot;"/>
    <numFmt numFmtId="165" formatCode="#,##0.00&quot; грн&quot;"/>
    <numFmt numFmtId="166" formatCode="0.0%"/>
  </numFmts>
  <fonts count="2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4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color rgb="FF1F3864"/>
      <sz val="11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i val="1"/>
      <color rgb="FF80808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FF"/>
      <sz val="11"/>
    </font>
    <font>
      <name val="Arial"/>
      <charset val="1"/>
      <family val="0"/>
      <color rgb="FF000000"/>
      <sz val="11"/>
    </font>
    <font>
      <name val="Arial"/>
      <family val="2"/>
      <sz val="10"/>
    </font>
    <font>
      <name val="Arial"/>
      <charset val="1"/>
      <family val="0"/>
      <b val="1"/>
      <sz val="9"/>
    </font>
    <font>
      <name val="Arial"/>
      <charset val="1"/>
      <family val="0"/>
      <i val="1"/>
      <color rgb="FF1F3864"/>
      <sz val="9"/>
    </font>
    <font>
      <name val="Arial"/>
      <charset val="1"/>
      <family val="0"/>
      <i val="1"/>
      <color rgb="FFC00000"/>
      <sz val="9"/>
    </font>
    <font>
      <name val="Arial"/>
      <b val="1"/>
      <color rgb="FFFFFFFF"/>
    </font>
    <font>
      <color rgb="FF000000"/>
    </font>
    <font>
      <b val="1"/>
      <color rgb="FFFFFFFF"/>
    </font>
    <font>
      <i val="1"/>
      <color rgb="FF808080"/>
    </font>
    <font>
      <color rgb="FF0000FF"/>
    </font>
  </fonts>
  <fills count="8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1F3864"/>
        <bgColor rgb="FF1F3864"/>
      </patternFill>
    </fill>
    <fill>
      <patternFill patternType="solid">
        <fgColor rgb="FF1F386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 wrapText="1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wrapText="1"/>
    </xf>
    <xf numFmtId="0" fontId="7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11" fillId="3" borderId="0" applyAlignment="1" pivotButton="0" quotePrefix="0" xfId="0">
      <alignment horizontal="general" vertical="bottom"/>
    </xf>
    <xf numFmtId="0" fontId="12" fillId="4" borderId="1" applyAlignment="1" pivotButton="0" quotePrefix="0" xfId="0">
      <alignment horizontal="center" vertical="center" wrapText="1"/>
    </xf>
    <xf numFmtId="0" fontId="13" fillId="4" borderId="0" applyAlignment="1" pivotButton="0" quotePrefix="0" xfId="0">
      <alignment horizontal="general" vertical="bottom"/>
    </xf>
    <xf numFmtId="0" fontId="11" fillId="3" borderId="1" applyAlignment="1" pivotButton="0" quotePrefix="0" xfId="0">
      <alignment horizontal="general" vertical="bottom"/>
    </xf>
    <xf numFmtId="164" fontId="11" fillId="3" borderId="1" applyAlignment="1" pivotButton="0" quotePrefix="0" xfId="0">
      <alignment horizontal="general" vertical="bottom"/>
    </xf>
    <xf numFmtId="165" fontId="11" fillId="3" borderId="1" applyAlignment="1" pivotButton="0" quotePrefix="0" xfId="0">
      <alignment horizontal="general" vertical="bottom"/>
    </xf>
    <xf numFmtId="0" fontId="14" fillId="3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14" fillId="2" borderId="1" applyAlignment="1" pivotButton="0" quotePrefix="0" xfId="0">
      <alignment horizontal="general" vertical="bottom"/>
    </xf>
    <xf numFmtId="165" fontId="15" fillId="0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 wrapText="1"/>
    </xf>
    <xf numFmtId="0" fontId="14" fillId="2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165" fontId="10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 wrapText="1"/>
    </xf>
    <xf numFmtId="0" fontId="0" fillId="0" borderId="1" applyAlignment="1" pivotButton="0" quotePrefix="0" xfId="0">
      <alignment horizontal="general" vertical="bottom"/>
    </xf>
    <xf numFmtId="166" fontId="11" fillId="3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166" fontId="0" fillId="0" borderId="1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164" fontId="9" fillId="2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166" fontId="9" fillId="2" borderId="1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 wrapText="1"/>
    </xf>
    <xf numFmtId="0" fontId="12" fillId="4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 wrapText="1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11" fillId="3" borderId="0" applyAlignment="1" pivotButton="0" quotePrefix="0" xfId="0">
      <alignment horizontal="general" vertical="bottom"/>
    </xf>
    <xf numFmtId="0" fontId="12" fillId="4" borderId="1" applyAlignment="1" pivotButton="0" quotePrefix="0" xfId="0">
      <alignment horizontal="center" vertical="center" wrapText="1"/>
    </xf>
    <xf numFmtId="0" fontId="13" fillId="4" borderId="0" applyAlignment="1" pivotButton="0" quotePrefix="0" xfId="0">
      <alignment horizontal="general" vertical="bottom"/>
    </xf>
    <xf numFmtId="0" fontId="11" fillId="3" borderId="1" applyAlignment="1" pivotButton="0" quotePrefix="0" xfId="0">
      <alignment horizontal="general" vertical="bottom"/>
    </xf>
    <xf numFmtId="164" fontId="11" fillId="3" borderId="1" applyAlignment="1" pivotButton="0" quotePrefix="0" xfId="0">
      <alignment horizontal="general" vertical="bottom"/>
    </xf>
    <xf numFmtId="165" fontId="11" fillId="3" borderId="1" applyAlignment="1" pivotButton="0" quotePrefix="0" xfId="0">
      <alignment horizontal="general" vertical="bottom"/>
    </xf>
    <xf numFmtId="0" fontId="14" fillId="3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14" fillId="2" borderId="1" applyAlignment="1" pivotButton="0" quotePrefix="0" xfId="0">
      <alignment horizontal="general" vertical="bottom"/>
    </xf>
    <xf numFmtId="165" fontId="15" fillId="0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 wrapText="1"/>
    </xf>
    <xf numFmtId="0" fontId="14" fillId="2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165" fontId="10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 wrapText="1"/>
    </xf>
    <xf numFmtId="0" fontId="0" fillId="0" borderId="1" applyAlignment="1" pivotButton="0" quotePrefix="0" xfId="0">
      <alignment horizontal="general" vertical="bottom"/>
    </xf>
    <xf numFmtId="166" fontId="11" fillId="3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166" fontId="0" fillId="0" borderId="1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164" fontId="9" fillId="2" borderId="0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166" fontId="9" fillId="2" borderId="1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 wrapText="1"/>
    </xf>
    <xf numFmtId="0" fontId="12" fillId="4" borderId="1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 wrapText="1"/>
    </xf>
    <xf numFmtId="0" fontId="20" fillId="5" borderId="0" pivotButton="0" quotePrefix="0" xfId="0"/>
    <xf numFmtId="0" fontId="12" fillId="4" borderId="0" pivotButton="0" quotePrefix="0" xfId="0"/>
    <xf numFmtId="0" fontId="21" fillId="0" borderId="0" pivotButton="0" quotePrefix="0" xfId="0"/>
    <xf numFmtId="0" fontId="22" fillId="6" borderId="0" pivotButton="0" quotePrefix="0" xfId="0"/>
    <xf numFmtId="0" fontId="23" fillId="7" borderId="0" pivotButton="0" quotePrefix="0" xfId="0"/>
    <xf numFmtId="0" fontId="24" fillId="0" borderId="0" pivotButton="0" quotePrefix="0" xfId="0"/>
    <xf numFmtId="165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Claude</author>
  </authors>
  <commentList>
    <comment ref="H3" authorId="0" shapeId="0">
      <text>
        <t>Тип пластику не зазначено в наданих даних — уточнити у Сергія.</t>
      </text>
    </comment>
    <comment ref="J3" authorId="0" shapeId="0">
      <text>
        <t>Не заповнено навмисно: слайсер дав пряму оцінку собівартості партії (136,77 грн/36шт), але незрозуміло, чи це чиста ціна пластику за кг, чи вже включає час/електрику. Уточнити у Сергія перед внесенням сюди — інакше можливе подвійне врахування витрат у майбутньому.</t>
      </text>
    </comment>
    <comment ref="N3" authorId="0" shapeId="0">
      <text>
        <t>Орієнтовно — середина заявленого діапазону 2–4 грн/шт (ланцюжок з кільцем або карабіном). Точну ціну не зафіксовано — уточнити.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7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6" customWidth="1" style="48" min="1" max="1"/>
    <col width="62" customWidth="1" style="48" min="2" max="2"/>
  </cols>
  <sheetData>
    <row r="1" ht="17.25" customHeight="1" s="49">
      <c r="A1" s="50" t="inlineStr">
        <is>
          <t>3D-Print — номенклатура, собівартість, продажі, наявність</t>
        </is>
      </c>
    </row>
    <row r="2" ht="15" customHeight="1" s="49">
      <c r="A2" s="51" t="inlineStr">
        <is>
          <t>v5 · 2026-07-31 · SKU перейменовано FIG-CHARM-001 → BR-CHARM-001 (брелоки отримують префікс BR-, префікс FIG- лишається за самостійними фігурками); Номенклатура A3 оновлена реальними даними після фото від Сергія (партія 36 шт = заготовки під Track 2, готового товару 0 шт).</t>
        </is>
      </c>
    </row>
    <row r="4" ht="15" customHeight="1" s="49">
      <c r="A4" s="52" t="inlineStr">
        <is>
          <t>Що нового у v2</t>
        </is>
      </c>
    </row>
    <row r="5" ht="54.75" customHeight="1" s="49">
      <c r="A5" s="53" t="inlineStr">
        <is>
          <t>Власник зафіксував фінансову модель 2026-07-28: собівартість Сергія повертається йому першою, залишковий маржинальний прибуток ділиться 50/50. Порівняння з варіантом «% від виручки» більше не потрібне — той варіант знято. Вкладки «Продажі» та «Аналітика» переписані під цю формулу.
v3→v4 (2026-07-31, той самий день): додано нову вкладку «Виплати» — трекінг періодів нарахувань і фактичних виплат Сергію (див. розділ нижче). Два пункти з «Відомих відкритих питань» закриті остаточно: графік/модель виплат (вкладка «Виплати» знімає питання) і ліміт знижки без узгодження (підтверджено — окремого числового ліміту немає, усе централізовано з Сергієм).
v4→v5 (2026-07-31, той самий день): власник підтвердив фото готової партії (36 заготовок-брелоків Чармандер, ще без ланцюжка/карабіна — фурнітура окремо). Уточнено: ця партія 36 шт замовлена одразу як викуп під Track 2 «Маркетингова плюшка», а не під продаж на сайті — отже фактичний залишок готового товару під Track 1 (продаж) = 0 шт, поки не буде окремого друку під продаж. Власник підняв процесне питання: як фіксувати собівартість Track-2 закупівлі, коли до неї додається фурнітура (ланцюжок/карабін) поверх ціни від Сергія — відкрите питання, див. Номенклатура M3 і 3D-P-002/3D-P-004.</t>
        </is>
      </c>
    </row>
    <row r="7" ht="15" customHeight="1" s="49">
      <c r="A7" s="52" t="inlineStr">
        <is>
          <t>Формула розрахунку (усі вкладки)</t>
        </is>
      </c>
    </row>
    <row r="8" ht="27.75" customHeight="1" s="49">
      <c r="A8" s="54" t="inlineStr">
        <is>
          <t>• Маржинальний прибуток = Фактична ціна продажу (після знижки) − Собівартість Сергія − Витрати BoosterShop.</t>
        </is>
      </c>
    </row>
    <row r="9" ht="27.75" customHeight="1" s="49">
      <c r="A9" s="54" t="inlineStr">
        <is>
          <t>• Нараховано Сергію = Собівартість Сергія + 50% × Маржинальний прибуток.</t>
        </is>
      </c>
    </row>
    <row r="10" ht="27.75" customHeight="1" s="49">
      <c r="A10" s="54" t="inlineStr">
        <is>
          <t>• Маржа BoosterShop = 50% × Маржинальний прибуток.</t>
        </is>
      </c>
    </row>
    <row r="11" ht="27.75" customHeight="1" s="49">
      <c r="A11" s="54" t="inlineStr">
        <is>
          <t>• Якщо Маржинальний прибуток від'ємний — формула НЕ застосовується автоматично: рядок отримує статус «ЗБИТКОВИЙ — рішення власника», сума не рахується, поки власник не вирішить, хто покриває збиток.</t>
        </is>
      </c>
    </row>
    <row r="13" ht="15" customHeight="1" s="49">
      <c r="A13" s="52" t="inlineStr">
        <is>
          <t>Два треки — не плутати з формулою вище</t>
        </is>
      </c>
    </row>
    <row r="14" ht="15" customHeight="1" s="49">
      <c r="A14" s="55" t="inlineStr">
        <is>
          <t>Трек 1 — «Продаж на сайті» (вкладка Продажі)</t>
        </is>
      </c>
      <c r="B14" s="54" t="inlineStr">
        <is>
          <t>Формула вище застосовується тут повністю.</t>
        </is>
      </c>
    </row>
    <row r="15" ht="31.5" customHeight="1" s="49">
      <c r="A15" s="55" t="inlineStr">
        <is>
          <t>Трек 2 — «Маркетингова плюшка» (вкладка Маркетингові_плюшки)</t>
        </is>
      </c>
      <c r="B15" s="54" t="inlineStr">
        <is>
          <t>Формула вище НЕ застосовується — це пряма закупівля готового виробу в Сергія за мінімальною націнкою, без продажної виручки і без 50/50. 31.07: додано колонки I–K (Фурнітура за од. / Собівартість за од. Сергій+фурнітура / Собівартість партії) — власник хотів фіксувати повну собівартість Track-2 закупівлі, коли до ціни від Сергія (D) додається своя фурнітура (ланцюжок/карабін), не лише ціну Сергія. Колонка D і далі означає лише те, що сплачено Сергію (для узгодження з «Виплати»); I — фурнітура окремо; J/K — розрахункова повна собівартість, формули, не редагувати вручну.</t>
        </is>
      </c>
    </row>
    <row r="17" ht="15" customHeight="1" s="49">
      <c r="A17" s="52" t="inlineStr">
        <is>
          <t>Важливе спрощення (поки що)</t>
        </is>
      </c>
    </row>
    <row r="18" ht="54.75" customHeight="1" s="49">
      <c r="A18" s="53" t="inlineStr">
        <is>
          <t>«Собівартість Сергію» тепер = вартість матеріалу (Номенклатура, колонка K, формула I×J/1000) + фурнітура за одиницю (колонка N, напр. ланцюжок/карабін). Повне визначення з обговорення включає ще електрику, амортизацію принтера, працю, витратники й ліцензію — цей файл їх ще НЕ рахує окремо. Додайте вручну в «Витрати BoosterShop» або в примітку, доки калькулятор не розшириться.</t>
        </is>
      </c>
    </row>
    <row r="20" ht="15" customHeight="1" s="49">
      <c r="A20" s="52" t="inlineStr">
        <is>
          <t>Хто що заповнює</t>
        </is>
      </c>
    </row>
    <row r="21" ht="45.75" customHeight="1" s="49">
      <c r="A21" s="55" t="inlineStr">
        <is>
          <t>Друг</t>
        </is>
      </c>
      <c r="B21" s="53" t="inlineStr">
        <is>
          <t>Номенклатура: колонки G–L (час друку, матеріал, витрата, ціна матеріалу/кг, дата, примітки) та N (фурнітура).</t>
        </is>
      </c>
    </row>
    <row r="22" ht="45.75" customHeight="1" s="49">
      <c r="A22" s="55" t="inlineStr">
        <is>
          <t>Власник</t>
        </is>
      </c>
      <c r="B22" s="53" t="inlineStr">
        <is>
          <t>Номенклатура: колонки A–F (SKU, назва, франшиза, тип, трек, статус). Продажі: фактична ціна, витрати BoosterShop, канал, замовлення. Маркетингові_плюшки. Аналітика: цінові сценарії. Виплати: Період, Дата фактичної виплати, Статус, Примітки.</t>
        </is>
      </c>
    </row>
    <row r="23" ht="45.75" customHeight="1" s="49">
      <c r="A23" s="55" t="inlineStr">
        <is>
          <t>Обидва (за домовленістю)</t>
        </is>
      </c>
      <c r="B23" s="53" t="inlineStr">
        <is>
          <t>Можна заповнювати Друк-лог і Продажі спільно — головне не редагувати одну клітинку одночасно.</t>
        </is>
      </c>
    </row>
    <row r="24" ht="45.75" customHeight="1" s="49">
      <c r="A24" s="55" t="inlineStr">
        <is>
          <t>Ніхто вручну</t>
        </is>
      </c>
      <c r="B24" s="53" t="inlineStr">
        <is>
          <t>Наявність — рахується автоматично формулами з інших вкладок. Не вводити туди числа руками. Виплати: колонки «Нараховано Сергію за період» і «Термін перевірки Сергієм» — теж формули, не вводити руками.</t>
        </is>
      </c>
    </row>
    <row r="26" ht="15" customHeight="1" s="49">
      <c r="A26" s="52" t="inlineStr">
        <is>
          <t>Колірний код</t>
        </is>
      </c>
    </row>
    <row r="27" ht="15" customHeight="1" s="49">
      <c r="A27" s="56" t="inlineStr">
        <is>
          <t>Синій текст</t>
        </is>
      </c>
      <c r="B27" s="57" t="inlineStr">
        <is>
          <t>Клітинка для ручного вводу</t>
        </is>
      </c>
    </row>
    <row r="28" ht="15" customHeight="1" s="49">
      <c r="A28" s="58" t="inlineStr">
        <is>
          <t>Чорний текст</t>
        </is>
      </c>
      <c r="B28" s="57" t="inlineStr">
        <is>
          <t>Формула — не змінювати вручну</t>
        </is>
      </c>
    </row>
    <row r="29" ht="15" customHeight="1" s="49">
      <c r="A29" s="59" t="inlineStr">
        <is>
          <t>Жовта заливка</t>
        </is>
      </c>
      <c r="B29" s="57" t="inlineStr">
        <is>
          <t>Ключове припущення / потрібне рішення власника (напр. % прибутку за конкретним SKU)</t>
        </is>
      </c>
    </row>
    <row r="30" ht="15" customHeight="1" s="49">
      <c r="A30" s="60" t="inlineStr">
        <is>
          <t>Сірий курсив</t>
        </is>
      </c>
      <c r="B30" s="57" t="inlineStr">
        <is>
          <t>Приклад / референс-рядок — замінити реальними даними</t>
        </is>
      </c>
    </row>
    <row r="32" ht="15" customHeight="1" s="49">
      <c r="A32" s="52" t="inlineStr">
        <is>
          <t>Відомі відкриті питання (станом на 2026-07-31)</t>
        </is>
      </c>
    </row>
    <row r="33" ht="27.75" customHeight="1" s="49">
      <c r="A33" s="54" t="inlineStr">
        <is>
          <t>• Закупівельна ціна за трек «Маркетингова плюшка» (ВИРІШЕНО, 31.07): фіксованої формули/відсотка немає. Сергій вводить ціну вручну для кожного SKU в колонці «Ціна закупівлі за од.» (вкладка Маркетингові_плюшки), орієнтуючись на складність виробу (просте/швидке — ближче до собівартості; складне — дорожче). Без автоматизації.</t>
        </is>
      </c>
    </row>
    <row r="34" ht="27.75" customHeight="1" s="49">
      <c r="A34" s="54" t="inlineStr">
        <is>
          <t>• Поріг суми замовлення, з якого йде безкоштовна плюшка — не визначено (вкладка Маркетингові_плюшки, жовта клітинка).</t>
        </is>
      </c>
    </row>
    <row r="35" ht="27.75" customHeight="1" s="49">
      <c r="A35" s="54" t="inlineStr">
        <is>
          <t>• Витрати BoosterShop — пакування ВИРІШЕНО (власник, 31.07): за замовчуванням НЕ додається окремою статтею, покривається маржею; повернутися лише якщо для великих товарів виявиться недооцінка. Комісія оплати тощо — усе ще не заповнено.</t>
        </is>
      </c>
    </row>
    <row r="36" ht="27.75" customHeight="1" s="49">
      <c r="A36" s="54" t="inlineStr">
        <is>
          <t>• Цінові сценарії на вкладці Аналітика — orientovні; знайдено 30 перевірених ринкових прикладів (задача 3D-P-003), але звірки з реальною собівартістю Сергія по 3-5 SKU ще нема (є лише 1 SKU — Чармандер, і той з відкритими H/J).</t>
        </is>
      </c>
    </row>
    <row r="37" ht="27.75" customHeight="1" s="49">
      <c r="A37" s="54" t="inlineStr">
        <is>
          <t>• Категорія каталогу для фігурок ще не створена в OpenCart — рішення власника, див. план 3D-P-002.</t>
        </is>
      </c>
    </row>
    <row r="38" ht="27.75" customHeight="1" s="49">
      <c r="A38" s="54" t="inlineStr">
        <is>
          <t>• Локальний сервер UI поверх цієї таблиці — чи потрібен Другу віддалений доступ, чи лише власнику (план 3D-P, §12).</t>
        </is>
      </c>
    </row>
    <row r="39" ht="15" customHeight="1" s="49">
      <c r="A39" s="48" t="inlineStr">
        <is>
          <t>• Хто покриває збиток при свідомому продажу нижче собівартості (ВИРІШЕНО, 31.07)</t>
        </is>
      </c>
      <c r="B39" s="48" t="inlineStr">
        <is>
          <t>Власник. Такий SKU НЕ продається на сайті зі знижкою нижче собівартості Сергія — натомість оформлюється як викуп через вкладку «Маркетингові_плюшки» (Трек 2), який фінансує власник.</t>
        </is>
      </c>
    </row>
    <row r="40" ht="15" customHeight="1" s="49">
      <c r="A40" s="48" t="inlineStr">
        <is>
          <t>• Гарантована мінімальна маржа/оплата за годину Сергію (ВИРІШЕНО, 31.07)</t>
        </is>
      </c>
      <c r="B40" s="48" t="inlineStr">
        <is>
          <t>Не потрібна.</t>
        </is>
      </c>
    </row>
    <row r="41" ht="15" customHeight="1" s="49">
      <c r="A41" s="48" t="inlineStr">
        <is>
          <t>• Термін перевірки розрахунку Сергієм перед виплатою (ВИРІШЕНО, 31.07)</t>
        </is>
      </c>
      <c r="B41" s="48" t="inlineStr">
        <is>
          <t>2 дні формально; по факту власник контактує з Сергієм і платить в останній день місяця.</t>
        </is>
      </c>
    </row>
    <row r="42" ht="15" customHeight="1" s="49">
      <c r="A42" s="48" t="inlineStr">
        <is>
          <t>• Графік і модель виплат (ВИРІШЕНО, 31.07): раз на місяць, в кінці місяця, без авансу. 2 дні — формальний термін перевірки розрахунку Сергієм, по факту власник контактує й платить в останній день місяця / наступного дня. Окрема вкладка «Виплати» додана в v4 (трекінг періодів, нарахувань і фактичних виплат) — див. розділ нижче.</t>
        </is>
      </c>
      <c r="B42" s="48" t="inlineStr">
        <is>
          <t>Вирішено остаточно, 31.07 — вкладка «Виплати» додана в v4.</t>
        </is>
      </c>
    </row>
    <row r="43" ht="15" customHeight="1" s="49">
      <c r="A43" s="48" t="inlineStr">
        <is>
          <t>• Максимальна знижка без окремого узгодження (ВИРІШЕНО, 31.07): окремого числового ліміту немає. Усі знижки погоджуються з Сергієм централізовано (не автономно на сайті). Введено новий блок у вкладці Продажі — колонки P «Тип знижки», Q «Параметр знижки», R «Погоджено з Сергієм» — див. розділ «Типи знижок» нижче.</t>
        </is>
      </c>
      <c r="B43" s="48" t="inlineStr">
        <is>
          <t>Вирішено остаточно, 31.07 — підтверджено власником, окремого числового ліміту немає.</t>
        </is>
      </c>
    </row>
    <row r="61">
      <c r="A61" s="48" t="inlineStr">
        <is>
          <t>Типи знижок (вкладка Продажі, колонки P/Q/R) — введено 31.07</t>
        </is>
      </c>
    </row>
    <row r="62">
      <c r="A62" s="48" t="inlineStr">
        <is>
          <t>«% від РРЦ»</t>
        </is>
      </c>
      <c r="B62" s="48" t="inlineStr">
        <is>
          <t>Класична знижка у відсотках від РРЦ. Параметр (Q) — сам відсоток, напр. «15%». Колонка E «Фактична ціна за од.» = РРЦ × (1 − %), вводиться вручну.</t>
        </is>
      </c>
    </row>
    <row r="63">
      <c r="A63" s="48" t="inlineStr">
        <is>
          <t>«N+1 безкоштовно»</t>
        </is>
      </c>
      <c r="B63" s="48" t="inlineStr">
        <is>
          <t>Напр. «купи 2, третій безкоштовно» (акційний пакет в межах продажу на сайті, Трек 1). Параметр (Q) — формат типу «3+1». ВІДРІЗНЯЄТЬСЯ від «Маркетингові_плюшки» (Трек 2): там власник окремо викуповує готовий виріб у Сергія під замовлення понад ту ж покупку, без 50/50. Тут — знижка всередині самого продажу, формула 50/50 застосовується як завжди до фактичної ціни.</t>
        </is>
      </c>
    </row>
    <row r="64">
      <c r="A64" s="48" t="inlineStr">
        <is>
          <t>«Інше»</t>
        </is>
      </c>
      <c r="B64" s="48" t="inlineStr">
        <is>
          <t>Будь-який інший формат знижки, не описаний вище — деталі в Q і в Примітках (колонка O).</t>
        </is>
      </c>
    </row>
    <row r="65">
      <c r="A65" s="48" t="inlineStr">
        <is>
          <t>«Без знижки»</t>
        </is>
      </c>
      <c r="B65" s="48" t="inlineStr">
        <is>
          <t>РРЦ без змін — значення за замовчуванням, якщо знижки не було.</t>
        </is>
      </c>
    </row>
    <row r="66">
      <c r="A66" s="48" t="inlineStr">
        <is>
          <t>Правило погодження</t>
        </is>
      </c>
      <c r="B66" s="48" t="inlineStr">
        <is>
          <t>Колонка R («Погоджено з Сергієм») — Так/Ні. Власник заповнює після централізованого узгодження з Сергієм; порожньо/«Ні» = знижка застосована, але формально ще не підтверджена з Сергієм.</t>
        </is>
      </c>
    </row>
    <row r="68">
      <c r="A68" s="48" t="inlineStr">
        <is>
          <t>Вкладка «Виплати» (додано в v4, 31.07)</t>
        </is>
      </c>
    </row>
    <row r="69">
      <c r="A69" s="48" t="inlineStr">
        <is>
          <t>Що це</t>
        </is>
      </c>
      <c r="B69" s="48" t="inlineStr">
        <is>
          <t>Трекінг щомісячних періодів нарахувань і фактичних виплат Сергію. Не змінює формули «Продажі» — лише агрегує їх по періоду.</t>
        </is>
      </c>
    </row>
    <row r="70">
      <c r="A70" s="48" t="inlineStr">
        <is>
          <t>Період</t>
        </is>
      </c>
      <c r="B70" s="48" t="inlineStr">
        <is>
          <t>Ручний ввід у форматі РРРР-ММ (напр. 2026-07). Має збігатись з місяцем дат у «Продажі».</t>
        </is>
      </c>
    </row>
    <row r="71">
      <c r="A71" s="48" t="inlineStr">
        <is>
          <t>Нараховано Сергію за період, грн</t>
        </is>
      </c>
      <c r="B71" s="48" t="inlineStr">
        <is>
          <t>Формула — сума колонки «Нараховано Сергію» з «Продажі» за рядки цього періоду (через допоміжну колонку Продажі!S, яка формулою бере РРРР-ММ з дати продажу). Рядки зі статусом «ЗБИТКОВИЙ» (текст замість суми) до підсумку не входять — їх власник вирішує окремо, за домовленістю з 31.07.</t>
        </is>
      </c>
    </row>
    <row r="72">
      <c r="A72" s="48" t="inlineStr">
        <is>
          <t>Термін перевірки Сергієм</t>
        </is>
      </c>
      <c r="B72" s="48" t="inlineStr">
        <is>
          <t>Формула — останній день періоду + 2 дні (формальний термін перевірки розрахунку, узгоджено 31.07).</t>
        </is>
      </c>
    </row>
    <row r="73">
      <c r="A73" s="48" t="inlineStr">
        <is>
          <t>Дата фактичної виплати</t>
        </is>
      </c>
      <c r="B73" s="48" t="inlineStr">
        <is>
          <t>Ручний ввід — власник вписує, коли реально заплатив (за домовленістю 31.07 — зазвичай в останній день місяця або наступного дня).</t>
        </is>
      </c>
    </row>
    <row r="74">
      <c r="A74" s="48" t="inlineStr">
        <is>
          <t>Статус</t>
        </is>
      </c>
      <c r="B74" s="48" t="inlineStr">
        <is>
          <t>Ручний ввід: «Заплановано» / «Виплачено» / «Прострочено».</t>
        </is>
      </c>
    </row>
    <row r="75">
      <c r="A75" s="48" t="inlineStr">
        <is>
          <t>Хто заповнює</t>
        </is>
      </c>
      <c r="B75" s="48" t="inlineStr">
        <is>
          <t>Власник — Період, Дата фактичної виплати, Статус, Примітки. Нараховано і Термін перевірки — формули, не редагувати вручну.</t>
        </is>
      </c>
    </row>
  </sheetData>
  <mergeCells count="11">
    <mergeCell ref="A38:B38"/>
    <mergeCell ref="A33:B33"/>
    <mergeCell ref="A11:B11"/>
    <mergeCell ref="A9:B9"/>
    <mergeCell ref="A10:B10"/>
    <mergeCell ref="A37:B37"/>
    <mergeCell ref="A36:B36"/>
    <mergeCell ref="A18:B18"/>
    <mergeCell ref="A8:B8"/>
    <mergeCell ref="A34:B34"/>
    <mergeCell ref="A35:B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N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4" customWidth="1" style="48" min="1" max="1"/>
    <col width="34" customWidth="1" style="48" min="2" max="2"/>
    <col width="12" customWidth="1" style="48" min="3" max="3"/>
    <col width="16" customWidth="1" style="48" min="4" max="5"/>
    <col width="26" customWidth="1" style="48" min="6" max="6"/>
    <col width="12" customWidth="1" style="48" min="7" max="7"/>
    <col width="14" customWidth="1" style="48" min="8" max="10"/>
    <col width="18" customWidth="1" style="48" min="11" max="11"/>
    <col width="13" customWidth="1" style="48" min="12" max="12"/>
    <col width="42" customWidth="1" style="48" min="13" max="13"/>
    <col width="16" customWidth="1" style="48" min="14" max="14"/>
  </cols>
  <sheetData>
    <row r="1" ht="34.5" customHeight="1" s="49">
      <c r="A1" s="61" t="inlineStr">
        <is>
          <t>SKU</t>
        </is>
      </c>
      <c r="B1" s="61" t="inlineStr">
        <is>
          <t>Назва виробу</t>
        </is>
      </c>
      <c r="C1" s="61" t="inlineStr">
        <is>
          <t>Франшиза</t>
        </is>
      </c>
      <c r="D1" s="61" t="inlineStr">
        <is>
          <t>Тип</t>
        </is>
      </c>
      <c r="E1" s="61" t="inlineStr">
        <is>
          <t>Трек</t>
        </is>
      </c>
      <c r="F1" s="61" t="inlineStr">
        <is>
          <t>Статус</t>
        </is>
      </c>
      <c r="G1" s="61" t="inlineStr">
        <is>
          <t>Час друку, год</t>
        </is>
      </c>
      <c r="H1" s="61" t="inlineStr">
        <is>
          <t>Матеріал (пластик)</t>
        </is>
      </c>
      <c r="I1" s="61" t="inlineStr">
        <is>
          <t>Витрата матеріалу, г</t>
        </is>
      </c>
      <c r="J1" s="61" t="inlineStr">
        <is>
          <t>Ціна матеріалу, грн/кг</t>
        </is>
      </c>
      <c r="K1" s="61" t="inlineStr">
        <is>
          <t>Собівартість Сергія (матеріал+фурнітура), грн</t>
        </is>
      </c>
      <c r="L1" s="61" t="inlineStr">
        <is>
          <t>Дата оновлення</t>
        </is>
      </c>
      <c r="M1" s="61" t="inlineStr">
        <is>
          <t>Примітки</t>
        </is>
      </c>
      <c r="N1" s="62" t="inlineStr">
        <is>
          <t>Фурнітура (ланцюжок/карабін), грн/шт</t>
        </is>
      </c>
    </row>
    <row r="2" ht="15" customHeight="1" s="49">
      <c r="A2" s="63" t="inlineStr">
        <is>
          <t>ПРИКЛАД-001</t>
        </is>
      </c>
      <c r="B2" s="63" t="inlineStr">
        <is>
          <t>Приклад розрахунку (ілюстративні цифри)</t>
        </is>
      </c>
      <c r="C2" s="63" t="inlineStr">
        <is>
          <t>—</t>
        </is>
      </c>
      <c r="D2" s="63" t="inlineStr">
        <is>
          <t>Фігурка</t>
        </is>
      </c>
      <c r="E2" s="63" t="inlineStr">
        <is>
          <t>Продаж на сайті</t>
        </is>
      </c>
      <c r="F2" s="63" t="inlineStr">
        <is>
          <t>ПРИКЛАД — видалити</t>
        </is>
      </c>
      <c r="G2" s="63" t="n">
        <v>4</v>
      </c>
      <c r="H2" s="63" t="inlineStr">
        <is>
          <t>PLA</t>
        </is>
      </c>
      <c r="I2" s="63" t="n">
        <v>120</v>
      </c>
      <c r="J2" s="64" t="n">
        <v>700</v>
      </c>
      <c r="K2" s="65">
        <f>I2*J2/1000+N2</f>
        <v/>
      </c>
      <c r="L2" s="63" t="inlineStr">
        <is>
          <t>2026-07-28</t>
        </is>
      </c>
      <c r="M2" s="63" t="inlineStr">
        <is>
          <t>Ілюстративні цифри лише для перевірки формул. Замініть/видаліть перед використанням.</t>
        </is>
      </c>
    </row>
    <row r="3" ht="23.25" customHeight="1" s="49">
      <c r="A3" s="66" t="inlineStr">
        <is>
          <t>BR-CHARM-001</t>
        </is>
      </c>
      <c r="B3" s="67" t="inlineStr">
        <is>
          <t>Брелок Чармандер</t>
        </is>
      </c>
      <c r="C3" s="67" t="inlineStr">
        <is>
          <t>Pokemon</t>
        </is>
      </c>
      <c r="D3" s="67" t="inlineStr">
        <is>
          <t>Брелок</t>
        </is>
      </c>
      <c r="E3" s="68" t="inlineStr">
        <is>
          <t>Продаж на сайті</t>
        </is>
      </c>
      <c r="F3" s="67" t="inlineStr">
        <is>
          <t>Реальне фото партії підтверджено власником 31.07 (36 заготовок на друкованому столі). Тип пластику назви немає — власник переказує зі слів Сергія лише що це 'гарний' пластик, дешевший в Україні й дорожчий за кордоном; це не підтверджена специфікація (PLA/PETG/ABS), лишається уточнити у J. Фактично готового товару під продаж 0 шт: усі 36 заготовок замовлені одразу як викуп під Track 2 (маркетингова плюшка), фурнітура (ланцюжок/карабін) ще не приєднана. Track A (продаж на сайті) для цього SKU наразі без реального стоку — потребує рішення власника, чи буде окремий друк під продаж.</t>
        </is>
      </c>
      <c r="G3" s="67" t="n">
        <v>0.1032</v>
      </c>
      <c r="H3" s="68" t="inlineStr">
        <is>
          <t>уточнити у Сергія</t>
        </is>
      </c>
      <c r="I3" s="67" t="n">
        <v>2.45</v>
      </c>
      <c r="J3" s="68" t="n"/>
      <c r="K3" s="69">
        <f>I3*J3/1000+N3</f>
        <v/>
      </c>
      <c r="L3" s="67" t="inlineStr">
        <is>
          <t>2026-07-31</t>
        </is>
      </c>
      <c r="M3" s="70" t="inlineStr">
        <is>
          <t>Джерело: скріншоти слайсера + повідомлення власника, 2026-07-31. Партія 36 шт на платформі: 3год43хв друку, філамент 27,79м/88,24г, слайсер-оцінка вартості 136,77 грн (≈3,80 грн/шт). Разовий друк 1 шт: 16 хв, слайсер-оцінка 6,08 грн/шт. Використано дані партії (36 шт) як реалістичний виробничий режим. УВАГА: слайсер-оцінка вартості могла включати не лише чистий пластик (можливо електрику/час) — перед внесенням у колонку J (Ціна матеріалу, грн/кг) уточнити у Сергія, чи це ціна пластику окремо. Тип пластику (PLA/ABS/PETG) також не вказано — уточнити. | 31.07 оновлення: SKU перейменовано з FIG-CHARM-001 на BR-CHARM-001 (це брелок, не окрема фігурка). Реальне фото партії є (не референс/сток). Відкрите процесне питання від власника: як логувати Track-2 закупівлі, коли собівартість = сума Сергію + фурнітура (ланцюжок/карабін) — куди саме заносити (Маркетингові_плюшки vs окрема стаття витрат). Не вирішено, не заповнювати без рішення власника.</t>
        </is>
      </c>
      <c r="N3" s="71" t="n">
        <v>3</v>
      </c>
    </row>
    <row r="4" ht="23.25" customHeight="1" s="49">
      <c r="A4" s="63" t="inlineStr">
        <is>
          <t>(призначити SKU)</t>
        </is>
      </c>
      <c r="B4" s="72" t="inlineStr">
        <is>
          <t>Фігурка Генгар</t>
        </is>
      </c>
      <c r="C4" s="72" t="inlineStr">
        <is>
          <t>Pokémon</t>
        </is>
      </c>
      <c r="D4" s="72" t="inlineStr">
        <is>
          <t>Фігурка</t>
        </is>
      </c>
      <c r="E4" s="73" t="n"/>
      <c r="F4" s="74" t="inlineStr">
        <is>
          <t>Референс із фото власника — ще не надруковано Другом</t>
        </is>
      </c>
      <c r="G4" s="75" t="n"/>
      <c r="H4" s="75" t="n"/>
      <c r="I4" s="75" t="n"/>
      <c r="J4" s="75" t="n"/>
      <c r="K4" s="76">
        <f>I4*J4/1000+N4</f>
        <v/>
      </c>
      <c r="L4" s="75" t="n"/>
      <c r="M4" s="77" t="inlineStr">
        <is>
          <t>Товар з референс-фото у чаті 2026-07-28, конкретні товари узгоджуються з Другом окремо</t>
        </is>
      </c>
    </row>
    <row r="5" ht="23.25" customHeight="1" s="49">
      <c r="A5" s="63" t="inlineStr">
        <is>
          <t>(призначити SKU)</t>
        </is>
      </c>
      <c r="B5" s="72" t="inlineStr">
        <is>
          <t>Кейс-покебол «Мяу» (Mew) з хвостом</t>
        </is>
      </c>
      <c r="C5" s="72" t="inlineStr">
        <is>
          <t>Pokémon</t>
        </is>
      </c>
      <c r="D5" s="72" t="inlineStr">
        <is>
          <t>Функціональний аксесуар</t>
        </is>
      </c>
      <c r="E5" s="73" t="n"/>
      <c r="F5" s="74" t="inlineStr">
        <is>
          <t>Референс із фото власника — ще не надруковано Другом</t>
        </is>
      </c>
      <c r="G5" s="75" t="n"/>
      <c r="H5" s="75" t="n"/>
      <c r="I5" s="75" t="n"/>
      <c r="J5" s="75" t="n"/>
      <c r="K5" s="76">
        <f>I5*J5/1000+N5</f>
        <v/>
      </c>
      <c r="L5" s="75" t="n"/>
      <c r="M5" s="77" t="inlineStr">
        <is>
          <t>Товар з референс-фото у чаті 2026-07-28, конкретні товари узгоджуються з Другом окремо</t>
        </is>
      </c>
    </row>
    <row r="6" ht="23.25" customHeight="1" s="49">
      <c r="A6" s="63" t="inlineStr">
        <is>
          <t>(призначити SKU)</t>
        </is>
      </c>
      <c r="B6" s="72" t="inlineStr">
        <is>
          <t>Підставка-олівниця «Дітто» (Ditto)</t>
        </is>
      </c>
      <c r="C6" s="72" t="inlineStr">
        <is>
          <t>Pokémon</t>
        </is>
      </c>
      <c r="D6" s="72" t="inlineStr">
        <is>
          <t>Функціональний аксесуар</t>
        </is>
      </c>
      <c r="E6" s="73" t="n"/>
      <c r="F6" s="74" t="inlineStr">
        <is>
          <t>Референс із фото власника — ще не надруковано Другом</t>
        </is>
      </c>
      <c r="G6" s="75" t="n"/>
      <c r="H6" s="75" t="n"/>
      <c r="I6" s="75" t="n"/>
      <c r="J6" s="75" t="n"/>
      <c r="K6" s="76">
        <f>I6*J6/1000+N6</f>
        <v/>
      </c>
      <c r="L6" s="75" t="n"/>
      <c r="M6" s="77" t="inlineStr">
        <is>
          <t>Товар з референс-фото у чаті 2026-07-28, конкретні товари узгоджуються з Другом окремо</t>
        </is>
      </c>
    </row>
    <row r="7" ht="23.25" customHeight="1" s="49">
      <c r="A7" s="63" t="inlineStr">
        <is>
          <t>(призначити SKU)</t>
        </is>
      </c>
      <c r="B7" s="72" t="inlineStr">
        <is>
          <t>Дек-бокс «Покебол» (набір кольорів)</t>
        </is>
      </c>
      <c r="C7" s="72" t="inlineStr">
        <is>
          <t>Pokémon</t>
        </is>
      </c>
      <c r="D7" s="72" t="inlineStr">
        <is>
          <t>Функціональний аксесуар</t>
        </is>
      </c>
      <c r="E7" s="73" t="n"/>
      <c r="F7" s="74" t="inlineStr">
        <is>
          <t>Референс із фото власника — ще не надруковано Другом</t>
        </is>
      </c>
      <c r="G7" s="75" t="n"/>
      <c r="H7" s="75" t="n"/>
      <c r="I7" s="75" t="n"/>
      <c r="J7" s="75" t="n"/>
      <c r="K7" s="76">
        <f>I7*J7/1000+N7</f>
        <v/>
      </c>
      <c r="L7" s="75" t="n"/>
      <c r="M7" s="77" t="inlineStr">
        <is>
          <t>Товар з референс-фото у чаті 2026-07-28, конкретні товари узгоджуються з Другом окремо</t>
        </is>
      </c>
    </row>
    <row r="8" ht="23.25" customHeight="1" s="49">
      <c r="A8" s="63" t="inlineStr">
        <is>
          <t>(призначити SKU)</t>
        </is>
      </c>
      <c r="B8" s="72" t="inlineStr">
        <is>
          <t>Брелок/фігурка «Онікс» (Onix)</t>
        </is>
      </c>
      <c r="C8" s="72" t="inlineStr">
        <is>
          <t>Pokémon</t>
        </is>
      </c>
      <c r="D8" s="72" t="inlineStr">
        <is>
          <t>Фігурка</t>
        </is>
      </c>
      <c r="E8" s="73" t="n"/>
      <c r="F8" s="74" t="inlineStr">
        <is>
          <t>Референс із фото власника — ще не надруковано Другом</t>
        </is>
      </c>
      <c r="G8" s="75" t="n"/>
      <c r="H8" s="75" t="n"/>
      <c r="I8" s="75" t="n"/>
      <c r="J8" s="75" t="n"/>
      <c r="K8" s="76">
        <f>I8*J8/1000+N8</f>
        <v/>
      </c>
      <c r="L8" s="75" t="n"/>
      <c r="M8" s="77" t="inlineStr">
        <is>
          <t>Товар з референс-фото у чаті 2026-07-28, конкретні товари узгоджуються з Другом окремо</t>
        </is>
      </c>
    </row>
    <row r="9" ht="23.25" customHeight="1" s="49">
      <c r="A9" s="63" t="inlineStr">
        <is>
          <t>(призначити SKU)</t>
        </is>
      </c>
      <c r="B9" s="72" t="inlineStr">
        <is>
          <t>Фігурка Пікачу «крізь стіну» (декор)</t>
        </is>
      </c>
      <c r="C9" s="72" t="inlineStr">
        <is>
          <t>Pokémon</t>
        </is>
      </c>
      <c r="D9" s="72" t="inlineStr">
        <is>
          <t>Фігурка</t>
        </is>
      </c>
      <c r="E9" s="73" t="n"/>
      <c r="F9" s="74" t="inlineStr">
        <is>
          <t>Референс із фото власника — ще не надруковано Другом</t>
        </is>
      </c>
      <c r="G9" s="75" t="n"/>
      <c r="H9" s="75" t="n"/>
      <c r="I9" s="75" t="n"/>
      <c r="J9" s="75" t="n"/>
      <c r="K9" s="76">
        <f>I9*J9/1000+N9</f>
        <v/>
      </c>
      <c r="L9" s="75" t="n"/>
      <c r="M9" s="77" t="inlineStr">
        <is>
          <t>Товар з референс-фото у чаті 2026-07-28, конкретні товари узгоджуються з Другом окремо</t>
        </is>
      </c>
    </row>
    <row r="10" ht="15" customHeight="1" s="49">
      <c r="A10" s="78" t="n"/>
      <c r="B10" s="78" t="n"/>
      <c r="C10" s="78" t="n"/>
      <c r="D10" s="78" t="n"/>
      <c r="E10" s="78" t="n"/>
      <c r="F10" s="78" t="n"/>
      <c r="G10" s="78" t="n"/>
      <c r="H10" s="78" t="n"/>
      <c r="I10" s="78" t="n"/>
      <c r="J10" s="78" t="n"/>
      <c r="K10" s="76">
        <f>I10*J10/1000+N10</f>
        <v/>
      </c>
      <c r="L10" s="78" t="n"/>
      <c r="M10" s="78" t="n"/>
    </row>
    <row r="11" ht="15" customHeight="1" s="49">
      <c r="A11" s="78" t="n"/>
      <c r="B11" s="78" t="n"/>
      <c r="C11" s="78" t="n"/>
      <c r="D11" s="78" t="n"/>
      <c r="E11" s="78" t="n"/>
      <c r="F11" s="78" t="n"/>
      <c r="G11" s="78" t="n"/>
      <c r="H11" s="78" t="n"/>
      <c r="I11" s="78" t="n"/>
      <c r="J11" s="78" t="n"/>
      <c r="K11" s="76">
        <f>I11*J11/1000+N11</f>
        <v/>
      </c>
      <c r="L11" s="78" t="n"/>
      <c r="M11" s="78" t="n"/>
    </row>
    <row r="12" ht="15" customHeight="1" s="49">
      <c r="A12" s="78" t="n"/>
      <c r="B12" s="78" t="n"/>
      <c r="C12" s="78" t="n"/>
      <c r="D12" s="78" t="n"/>
      <c r="E12" s="78" t="n"/>
      <c r="F12" s="78" t="n"/>
      <c r="G12" s="78" t="n"/>
      <c r="H12" s="78" t="n"/>
      <c r="I12" s="78" t="n"/>
      <c r="J12" s="78" t="n"/>
      <c r="K12" s="76">
        <f>I12*J12/1000+N12</f>
        <v/>
      </c>
      <c r="L12" s="78" t="n"/>
      <c r="M12" s="78" t="n"/>
    </row>
    <row r="13" ht="15" customHeight="1" s="49">
      <c r="A13" s="78" t="n"/>
      <c r="B13" s="78" t="n"/>
      <c r="C13" s="78" t="n"/>
      <c r="D13" s="78" t="n"/>
      <c r="E13" s="78" t="n"/>
      <c r="F13" s="78" t="n"/>
      <c r="G13" s="78" t="n"/>
      <c r="H13" s="78" t="n"/>
      <c r="I13" s="78" t="n"/>
      <c r="J13" s="78" t="n"/>
      <c r="K13" s="76">
        <f>I13*J13/1000+N13</f>
        <v/>
      </c>
      <c r="L13" s="78" t="n"/>
      <c r="M13" s="78" t="n"/>
    </row>
    <row r="14" ht="15" customHeight="1" s="49">
      <c r="A14" s="78" t="n"/>
      <c r="B14" s="78" t="n"/>
      <c r="C14" s="78" t="n"/>
      <c r="D14" s="78" t="n"/>
      <c r="E14" s="78" t="n"/>
      <c r="F14" s="78" t="n"/>
      <c r="G14" s="78" t="n"/>
      <c r="H14" s="78" t="n"/>
      <c r="I14" s="78" t="n"/>
      <c r="J14" s="78" t="n"/>
      <c r="K14" s="76">
        <f>I14*J14/1000+N14</f>
        <v/>
      </c>
      <c r="L14" s="78" t="n"/>
      <c r="M14" s="78" t="n"/>
    </row>
    <row r="15" ht="15" customHeight="1" s="49">
      <c r="A15" s="78" t="n"/>
      <c r="B15" s="78" t="n"/>
      <c r="C15" s="78" t="n"/>
      <c r="D15" s="78" t="n"/>
      <c r="E15" s="78" t="n"/>
      <c r="F15" s="78" t="n"/>
      <c r="G15" s="78" t="n"/>
      <c r="H15" s="78" t="n"/>
      <c r="I15" s="78" t="n"/>
      <c r="J15" s="78" t="n"/>
      <c r="K15" s="76">
        <f>I15*J15/1000+N15</f>
        <v/>
      </c>
      <c r="L15" s="78" t="n"/>
      <c r="M15" s="78" t="n"/>
    </row>
  </sheetData>
  <dataValidations count="4">
    <dataValidation sqref="C2:C200" showDropDown="0" showInputMessage="0" showErrorMessage="0" allowBlank="1" type="list" errorStyle="stop" operator="between">
      <formula1>"Pokémon,One Piece,MTG,Yu-Gi-Oh!,Універсальний,Інше"</formula1>
      <formula2>0</formula2>
    </dataValidation>
    <dataValidation sqref="D2:D200" showDropDown="0" showInputMessage="0" showErrorMessage="0" allowBlank="1" type="list" errorStyle="stop" operator="between">
      <formula1>"Фігурка,Функціональний аксесуар,Інше"</formula1>
      <formula2>0</formula2>
    </dataValidation>
    <dataValidation sqref="E2:E200" showDropDown="0" showInputMessage="0" showErrorMessage="0" allowBlank="1" type="list" errorStyle="stop" operator="between">
      <formula1>"Продаж на сайті,Маркетингова плюшка,Тестовий зразок"</formula1>
      <formula2>0</formula2>
    </dataValidation>
    <dataValidation sqref="F2:F200" showDropDown="0" showInputMessage="0" showErrorMessage="0" allowBlank="1" type="list" errorStyle="stop" operator="between">
      <formula1>"У розробці,Тестовий друк,Готовий до продажу,Активний,Знятий з продажу,Референс"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48" min="1" max="1"/>
    <col width="14" customWidth="1" style="48" min="2" max="3"/>
    <col width="16" customWidth="1" style="48" min="4" max="4"/>
    <col width="14" customWidth="1" style="48" min="5" max="5"/>
    <col width="20" customWidth="1" style="48" min="6" max="6"/>
    <col width="16" customWidth="1" style="48" min="7" max="7"/>
    <col width="14" customWidth="1" style="48" min="8" max="8"/>
    <col width="36" customWidth="1" style="48" min="9" max="9"/>
  </cols>
  <sheetData>
    <row r="1" ht="23.25" customHeight="1" s="49">
      <c r="A1" s="61" t="inlineStr">
        <is>
          <t>Дата</t>
        </is>
      </c>
      <c r="B1" s="61" t="inlineStr">
        <is>
          <t>SKU</t>
        </is>
      </c>
      <c r="C1" s="61" t="inlineStr">
        <is>
          <t>Надруковано, шт</t>
        </is>
      </c>
      <c r="D1" s="61" t="inlineStr">
        <is>
          <t>Час друку факт, год</t>
        </is>
      </c>
      <c r="E1" s="61" t="inlineStr">
        <is>
          <t>Брак/відходи, шт</t>
        </is>
      </c>
      <c r="F1" s="61" t="inlineStr">
        <is>
          <t>Витрачено матеріалу, г (факт)</t>
        </is>
      </c>
      <c r="G1" s="61" t="inlineStr">
        <is>
          <t>Собівартість партії, грн</t>
        </is>
      </c>
      <c r="H1" s="61" t="inlineStr">
        <is>
          <t>Хто друкував</t>
        </is>
      </c>
      <c r="I1" s="61" t="inlineStr">
        <is>
          <t>Примітки</t>
        </is>
      </c>
    </row>
    <row r="2" ht="15" customHeight="1" s="49">
      <c r="A2" s="63" t="inlineStr">
        <is>
          <t>2026-07-20</t>
        </is>
      </c>
      <c r="B2" s="63" t="inlineStr">
        <is>
          <t>ПРИКЛАД-001</t>
        </is>
      </c>
      <c r="C2" s="63" t="n">
        <v>5</v>
      </c>
      <c r="D2" s="63" t="n">
        <v>22</v>
      </c>
      <c r="E2" s="63" t="n">
        <v>1</v>
      </c>
      <c r="F2" s="63" t="n">
        <v>600</v>
      </c>
      <c r="G2" s="65">
        <f>IF(B2="","",C2*IFERROR(INDEX(Номенклатура!$K:$K,MATCH(B2,Номенклатура!$A:$A,0)),0))</f>
        <v/>
      </c>
      <c r="H2" s="63" t="inlineStr">
        <is>
          <t>Друг</t>
        </is>
      </c>
      <c r="I2" s="63" t="inlineStr">
        <is>
          <t>приклад — видалити</t>
        </is>
      </c>
    </row>
    <row r="3" ht="15" customHeight="1" s="49">
      <c r="A3" s="78" t="n"/>
      <c r="B3" s="78" t="n"/>
      <c r="C3" s="78" t="n"/>
      <c r="D3" s="78" t="n"/>
      <c r="E3" s="78" t="n"/>
      <c r="F3" s="78" t="n"/>
      <c r="G3" s="76">
        <f>IF(B3="","",C3*IFERROR(INDEX(Номенклатура!$K:$K,MATCH(B3,Номенклатура!$A:$A,0)),0))</f>
        <v/>
      </c>
      <c r="H3" s="78" t="n"/>
      <c r="I3" s="78" t="n"/>
    </row>
    <row r="4" ht="15" customHeight="1" s="49">
      <c r="A4" s="78" t="n"/>
      <c r="B4" s="78" t="n"/>
      <c r="C4" s="78" t="n"/>
      <c r="D4" s="78" t="n"/>
      <c r="E4" s="78" t="n"/>
      <c r="F4" s="78" t="n"/>
      <c r="G4" s="76">
        <f>IF(B4="","",C4*IFERROR(INDEX(Номенклатура!$K:$K,MATCH(B4,Номенклатура!$A:$A,0)),0))</f>
        <v/>
      </c>
      <c r="H4" s="78" t="n"/>
      <c r="I4" s="78" t="n"/>
    </row>
    <row r="5" ht="15" customHeight="1" s="49">
      <c r="A5" s="78" t="n"/>
      <c r="B5" s="78" t="n"/>
      <c r="C5" s="78" t="n"/>
      <c r="D5" s="78" t="n"/>
      <c r="E5" s="78" t="n"/>
      <c r="F5" s="78" t="n"/>
      <c r="G5" s="76">
        <f>IF(B5="","",C5*IFERROR(INDEX(Номенклатура!$K:$K,MATCH(B5,Номенклатура!$A:$A,0)),0))</f>
        <v/>
      </c>
      <c r="H5" s="78" t="n"/>
      <c r="I5" s="78" t="n"/>
    </row>
    <row r="6" ht="15" customHeight="1" s="49">
      <c r="A6" s="78" t="n"/>
      <c r="B6" s="78" t="n"/>
      <c r="C6" s="78" t="n"/>
      <c r="D6" s="78" t="n"/>
      <c r="E6" s="78" t="n"/>
      <c r="F6" s="78" t="n"/>
      <c r="G6" s="76">
        <f>IF(B6="","",C6*IFERROR(INDEX(Номенклатура!$K:$K,MATCH(B6,Номенклатура!$A:$A,0)),0))</f>
        <v/>
      </c>
      <c r="H6" s="78" t="n"/>
      <c r="I6" s="78" t="n"/>
    </row>
    <row r="7" ht="15" customHeight="1" s="49">
      <c r="A7" s="78" t="n"/>
      <c r="B7" s="78" t="n"/>
      <c r="C7" s="78" t="n"/>
      <c r="D7" s="78" t="n"/>
      <c r="E7" s="78" t="n"/>
      <c r="F7" s="78" t="n"/>
      <c r="G7" s="76">
        <f>IF(B7="","",C7*IFERROR(INDEX(Номенклатура!$K:$K,MATCH(B7,Номенклатура!$A:$A,0)),0))</f>
        <v/>
      </c>
      <c r="H7" s="78" t="n"/>
      <c r="I7" s="78" t="n"/>
    </row>
    <row r="8" ht="15" customHeight="1" s="49">
      <c r="A8" s="78" t="n"/>
      <c r="B8" s="78" t="n"/>
      <c r="C8" s="78" t="n"/>
      <c r="D8" s="78" t="n"/>
      <c r="E8" s="78" t="n"/>
      <c r="F8" s="78" t="n"/>
      <c r="G8" s="76">
        <f>IF(B8="","",C8*IFERROR(INDEX(Номенклатура!$K:$K,MATCH(B8,Номенклатура!$A:$A,0)),0))</f>
        <v/>
      </c>
      <c r="H8" s="78" t="n"/>
      <c r="I8" s="78" t="n"/>
    </row>
    <row r="9" ht="15" customHeight="1" s="49">
      <c r="A9" s="78" t="n"/>
      <c r="B9" s="78" t="n"/>
      <c r="C9" s="78" t="n"/>
      <c r="D9" s="78" t="n"/>
      <c r="E9" s="78" t="n"/>
      <c r="F9" s="78" t="n"/>
      <c r="G9" s="76">
        <f>IF(B9="","",C9*IFERROR(INDEX(Номенклатура!$K:$K,MATCH(B9,Номенклатура!$A:$A,0)),0))</f>
        <v/>
      </c>
      <c r="H9" s="78" t="n"/>
      <c r="I9" s="78" t="n"/>
    </row>
    <row r="10" ht="15" customHeight="1" s="49">
      <c r="A10" s="78" t="n"/>
      <c r="B10" s="78" t="n"/>
      <c r="C10" s="78" t="n"/>
      <c r="D10" s="78" t="n"/>
      <c r="E10" s="78" t="n"/>
      <c r="F10" s="78" t="n"/>
      <c r="G10" s="76">
        <f>IF(B10="","",C10*IFERROR(INDEX(Номенклатура!$K:$K,MATCH(B10,Номенклатура!$A:$A,0)),0))</f>
        <v/>
      </c>
      <c r="H10" s="78" t="n"/>
      <c r="I10" s="78" t="n"/>
    </row>
    <row r="11" ht="15" customHeight="1" s="49">
      <c r="A11" s="78" t="n"/>
      <c r="B11" s="78" t="n"/>
      <c r="C11" s="78" t="n"/>
      <c r="D11" s="78" t="n"/>
      <c r="E11" s="78" t="n"/>
      <c r="F11" s="78" t="n"/>
      <c r="G11" s="76">
        <f>IF(B11="","",C11*IFERROR(INDEX(Номенклатура!$K:$K,MATCH(B11,Номенклатура!$A:$A,0)),0))</f>
        <v/>
      </c>
      <c r="H11" s="78" t="n"/>
      <c r="I11" s="78" t="n"/>
    </row>
    <row r="12" ht="15" customHeight="1" s="49">
      <c r="A12" s="78" t="n"/>
      <c r="B12" s="78" t="n"/>
      <c r="C12" s="78" t="n"/>
      <c r="D12" s="78" t="n"/>
      <c r="E12" s="78" t="n"/>
      <c r="F12" s="78" t="n"/>
      <c r="G12" s="76">
        <f>IF(B12="","",C12*IFERROR(INDEX(Номенклатура!$K:$K,MATCH(B12,Номенклатура!$A:$A,0)),0))</f>
        <v/>
      </c>
      <c r="H12" s="78" t="n"/>
      <c r="I12" s="78" t="n"/>
    </row>
    <row r="13" ht="15" customHeight="1" s="49">
      <c r="A13" s="78" t="n"/>
      <c r="B13" s="78" t="n"/>
      <c r="C13" s="78" t="n"/>
      <c r="D13" s="78" t="n"/>
      <c r="E13" s="78" t="n"/>
      <c r="F13" s="78" t="n"/>
      <c r="G13" s="76">
        <f>IF(B13="","",C13*IFERROR(INDEX(Номенклатура!$K:$K,MATCH(B13,Номенклатура!$A:$A,0)),0))</f>
        <v/>
      </c>
      <c r="H13" s="78" t="n"/>
      <c r="I13" s="78" t="n"/>
    </row>
    <row r="14" ht="15" customHeight="1" s="49">
      <c r="A14" s="78" t="n"/>
      <c r="B14" s="78" t="n"/>
      <c r="C14" s="78" t="n"/>
      <c r="D14" s="78" t="n"/>
      <c r="E14" s="78" t="n"/>
      <c r="F14" s="78" t="n"/>
      <c r="G14" s="76">
        <f>IF(B14="","",C14*IFERROR(INDEX(Номенклатура!$K:$K,MATCH(B14,Номенклатура!$A:$A,0)),0))</f>
        <v/>
      </c>
      <c r="H14" s="78" t="n"/>
      <c r="I14" s="78" t="n"/>
    </row>
    <row r="15" ht="15" customHeight="1" s="49">
      <c r="A15" s="78" t="n"/>
      <c r="B15" s="78" t="n"/>
      <c r="C15" s="78" t="n"/>
      <c r="D15" s="78" t="n"/>
      <c r="E15" s="78" t="n"/>
      <c r="F15" s="78" t="n"/>
      <c r="G15" s="76">
        <f>IF(B15="","",C15*IFERROR(INDEX(Номенклатура!$K:$K,MATCH(B15,Номенклатура!$A:$A,0)),0))</f>
        <v/>
      </c>
      <c r="H15" s="78" t="n"/>
      <c r="I15" s="78" t="n"/>
    </row>
    <row r="16" ht="15" customHeight="1" s="49">
      <c r="A16" s="78" t="n"/>
      <c r="B16" s="78" t="n"/>
      <c r="C16" s="78" t="n"/>
      <c r="D16" s="78" t="n"/>
      <c r="E16" s="78" t="n"/>
      <c r="F16" s="78" t="n"/>
      <c r="G16" s="76">
        <f>IF(B16="","",C16*IFERROR(INDEX(Номенклатура!$K:$K,MATCH(B16,Номенклатура!$A:$A,0)),0))</f>
        <v/>
      </c>
      <c r="H16" s="78" t="n"/>
      <c r="I16" s="78" t="n"/>
    </row>
    <row r="17" ht="15" customHeight="1" s="49">
      <c r="A17" s="78" t="n"/>
      <c r="B17" s="78" t="n"/>
      <c r="C17" s="78" t="n"/>
      <c r="D17" s="78" t="n"/>
      <c r="E17" s="78" t="n"/>
      <c r="F17" s="78" t="n"/>
      <c r="G17" s="76">
        <f>IF(B17="","",C17*IFERROR(INDEX(Номенклатура!$K:$K,MATCH(B17,Номенклатура!$A:$A,0)),0))</f>
        <v/>
      </c>
      <c r="H17" s="78" t="n"/>
      <c r="I17" s="78" t="n"/>
    </row>
    <row r="18" ht="15" customHeight="1" s="49">
      <c r="A18" s="78" t="n"/>
      <c r="B18" s="78" t="n"/>
      <c r="C18" s="78" t="n"/>
      <c r="D18" s="78" t="n"/>
      <c r="E18" s="78" t="n"/>
      <c r="F18" s="78" t="n"/>
      <c r="G18" s="76">
        <f>IF(B18="","",C18*IFERROR(INDEX(Номенклатура!$K:$K,MATCH(B18,Номенклатура!$A:$A,0)),0))</f>
        <v/>
      </c>
      <c r="H18" s="78" t="n"/>
      <c r="I18" s="78" t="n"/>
    </row>
    <row r="19" ht="15" customHeight="1" s="49">
      <c r="A19" s="78" t="n"/>
      <c r="B19" s="78" t="n"/>
      <c r="C19" s="78" t="n"/>
      <c r="D19" s="78" t="n"/>
      <c r="E19" s="78" t="n"/>
      <c r="F19" s="78" t="n"/>
      <c r="G19" s="76">
        <f>IF(B19="","",C19*IFERROR(INDEX(Номенклатура!$K:$K,MATCH(B19,Номенклатура!$A:$A,0)),0))</f>
        <v/>
      </c>
      <c r="H19" s="78" t="n"/>
      <c r="I19" s="78" t="n"/>
    </row>
    <row r="20" ht="15" customHeight="1" s="49">
      <c r="A20" s="78" t="n"/>
      <c r="B20" s="78" t="n"/>
      <c r="C20" s="78" t="n"/>
      <c r="D20" s="78" t="n"/>
      <c r="E20" s="78" t="n"/>
      <c r="F20" s="78" t="n"/>
      <c r="G20" s="76">
        <f>IF(B20="","",C20*IFERROR(INDEX(Номенклатура!$K:$K,MATCH(B20,Номенклатура!$A:$A,0)),0))</f>
        <v/>
      </c>
      <c r="H20" s="78" t="n"/>
      <c r="I20" s="78" t="n"/>
    </row>
    <row r="21" ht="15" customHeight="1" s="49">
      <c r="A21" s="78" t="n"/>
      <c r="B21" s="78" t="n"/>
      <c r="C21" s="78" t="n"/>
      <c r="D21" s="78" t="n"/>
      <c r="E21" s="78" t="n"/>
      <c r="F21" s="78" t="n"/>
      <c r="G21" s="76">
        <f>IF(B21="","",C21*IFERROR(INDEX(Номенклатура!$K:$K,MATCH(B21,Номенклатура!$A:$A,0)),0))</f>
        <v/>
      </c>
      <c r="H21" s="78" t="n"/>
      <c r="I21" s="78" t="n"/>
    </row>
    <row r="22" ht="15" customHeight="1" s="49">
      <c r="A22" s="78" t="n"/>
      <c r="B22" s="78" t="n"/>
      <c r="C22" s="78" t="n"/>
      <c r="D22" s="78" t="n"/>
      <c r="E22" s="78" t="n"/>
      <c r="F22" s="78" t="n"/>
      <c r="G22" s="76">
        <f>IF(B22="","",C22*IFERROR(INDEX(Номенклатура!$K:$K,MATCH(B22,Номенклатура!$A:$A,0)),0))</f>
        <v/>
      </c>
      <c r="H22" s="78" t="n"/>
      <c r="I22" s="78" t="n"/>
    </row>
    <row r="23" ht="15" customHeight="1" s="49">
      <c r="A23" s="78" t="n"/>
      <c r="B23" s="78" t="n"/>
      <c r="C23" s="78" t="n"/>
      <c r="D23" s="78" t="n"/>
      <c r="E23" s="78" t="n"/>
      <c r="F23" s="78" t="n"/>
      <c r="G23" s="76">
        <f>IF(B23="","",C23*IFERROR(INDEX(Номенклатура!$K:$K,MATCH(B23,Номенклатура!$A:$A,0)),0))</f>
        <v/>
      </c>
      <c r="H23" s="78" t="n"/>
      <c r="I23" s="78" t="n"/>
    </row>
    <row r="24" ht="15" customHeight="1" s="49">
      <c r="A24" s="78" t="n"/>
      <c r="B24" s="78" t="n"/>
      <c r="C24" s="78" t="n"/>
      <c r="D24" s="78" t="n"/>
      <c r="E24" s="78" t="n"/>
      <c r="F24" s="78" t="n"/>
      <c r="G24" s="76">
        <f>IF(B24="","",C24*IFERROR(INDEX(Номенклатура!$K:$K,MATCH(B24,Номенклатура!$A:$A,0)),0))</f>
        <v/>
      </c>
      <c r="H24" s="78" t="n"/>
      <c r="I24" s="78" t="n"/>
    </row>
    <row r="25" ht="15" customHeight="1" s="49">
      <c r="A25" s="78" t="n"/>
      <c r="B25" s="78" t="n"/>
      <c r="C25" s="78" t="n"/>
      <c r="D25" s="78" t="n"/>
      <c r="E25" s="78" t="n"/>
      <c r="F25" s="78" t="n"/>
      <c r="G25" s="76">
        <f>IF(B25="","",C25*IFERROR(INDEX(Номенклатура!$K:$K,MATCH(B25,Номенклатура!$A:$A,0)),0))</f>
        <v/>
      </c>
      <c r="H25" s="78" t="n"/>
      <c r="I25" s="78" t="n"/>
    </row>
    <row r="26" ht="15" customHeight="1" s="49">
      <c r="A26" s="78" t="n"/>
      <c r="B26" s="78" t="n"/>
      <c r="C26" s="78" t="n"/>
      <c r="D26" s="78" t="n"/>
      <c r="E26" s="78" t="n"/>
      <c r="F26" s="78" t="n"/>
      <c r="G26" s="76">
        <f>IF(B26="","",C26*IFERROR(INDEX(Номенклатура!$K:$K,MATCH(B26,Номенклатура!$A:$A,0)),0))</f>
        <v/>
      </c>
      <c r="H26" s="78" t="n"/>
      <c r="I26" s="78" t="n"/>
    </row>
    <row r="27" ht="15" customHeight="1" s="49">
      <c r="A27" s="78" t="n"/>
      <c r="B27" s="78" t="n"/>
      <c r="C27" s="78" t="n"/>
      <c r="D27" s="78" t="n"/>
      <c r="E27" s="78" t="n"/>
      <c r="F27" s="78" t="n"/>
      <c r="G27" s="76">
        <f>IF(B27="","",C27*IFERROR(INDEX(Номенклатура!$K:$K,MATCH(B27,Номенклатура!$A:$A,0)),0))</f>
        <v/>
      </c>
      <c r="H27" s="78" t="n"/>
      <c r="I27" s="78" t="n"/>
    </row>
    <row r="28" ht="15" customHeight="1" s="49">
      <c r="A28" s="78" t="n"/>
      <c r="B28" s="78" t="n"/>
      <c r="C28" s="78" t="n"/>
      <c r="D28" s="78" t="n"/>
      <c r="E28" s="78" t="n"/>
      <c r="F28" s="78" t="n"/>
      <c r="G28" s="76">
        <f>IF(B28="","",C28*IFERROR(INDEX(Номенклатура!$K:$K,MATCH(B28,Номенклатура!$A:$A,0)),0))</f>
        <v/>
      </c>
      <c r="H28" s="78" t="n"/>
      <c r="I28" s="78" t="n"/>
    </row>
    <row r="29" ht="15" customHeight="1" s="49">
      <c r="A29" s="78" t="n"/>
      <c r="B29" s="78" t="n"/>
      <c r="C29" s="78" t="n"/>
      <c r="D29" s="78" t="n"/>
      <c r="E29" s="78" t="n"/>
      <c r="F29" s="78" t="n"/>
      <c r="G29" s="76">
        <f>IF(B29="","",C29*IFERROR(INDEX(Номенклатура!$K:$K,MATCH(B29,Номенклатура!$A:$A,0)),0))</f>
        <v/>
      </c>
      <c r="H29" s="78" t="n"/>
      <c r="I29" s="78" t="n"/>
    </row>
    <row r="30" ht="15" customHeight="1" s="49">
      <c r="A30" s="78" t="n"/>
      <c r="B30" s="78" t="n"/>
      <c r="C30" s="78" t="n"/>
      <c r="D30" s="78" t="n"/>
      <c r="E30" s="78" t="n"/>
      <c r="F30" s="78" t="n"/>
      <c r="G30" s="76">
        <f>IF(B30="","",C30*IFERROR(INDEX(Номенклатура!$K:$K,MATCH(B30,Номенклатура!$A:$A,0)),0))</f>
        <v/>
      </c>
      <c r="H30" s="78" t="n"/>
      <c r="I30" s="78" t="n"/>
    </row>
    <row r="31" ht="15" customHeight="1" s="49">
      <c r="A31" s="78" t="n"/>
      <c r="B31" s="78" t="n"/>
      <c r="C31" s="78" t="n"/>
      <c r="D31" s="78" t="n"/>
      <c r="E31" s="78" t="n"/>
      <c r="F31" s="78" t="n"/>
      <c r="G31" s="76">
        <f>IF(B31="","",C31*IFERROR(INDEX(Номенклатура!$K:$K,MATCH(B31,Номенклатура!$A:$A,0)),0))</f>
        <v/>
      </c>
      <c r="H31" s="78" t="n"/>
      <c r="I31" s="78" t="n"/>
    </row>
    <row r="32" ht="15" customHeight="1" s="49">
      <c r="A32" s="78" t="n"/>
      <c r="B32" s="78" t="n"/>
      <c r="C32" s="78" t="n"/>
      <c r="D32" s="78" t="n"/>
      <c r="E32" s="78" t="n"/>
      <c r="F32" s="78" t="n"/>
      <c r="G32" s="76">
        <f>IF(B32="","",C32*IFERROR(INDEX(Номенклатура!$K:$K,MATCH(B32,Номенклатура!$A:$A,0)),0))</f>
        <v/>
      </c>
      <c r="H32" s="78" t="n"/>
      <c r="I32" s="78" t="n"/>
    </row>
    <row r="33" ht="15" customHeight="1" s="49">
      <c r="A33" s="78" t="n"/>
      <c r="B33" s="78" t="n"/>
      <c r="C33" s="78" t="n"/>
      <c r="D33" s="78" t="n"/>
      <c r="E33" s="78" t="n"/>
      <c r="F33" s="78" t="n"/>
      <c r="G33" s="76">
        <f>IF(B33="","",C33*IFERROR(INDEX(Номенклатура!$K:$K,MATCH(B33,Номенклатура!$A:$A,0)),0))</f>
        <v/>
      </c>
      <c r="H33" s="78" t="n"/>
      <c r="I33" s="78" t="n"/>
    </row>
    <row r="34" ht="15" customHeight="1" s="49">
      <c r="A34" s="78" t="n"/>
      <c r="B34" s="78" t="n"/>
      <c r="C34" s="78" t="n"/>
      <c r="D34" s="78" t="n"/>
      <c r="E34" s="78" t="n"/>
      <c r="F34" s="78" t="n"/>
      <c r="G34" s="76">
        <f>IF(B34="","",C34*IFERROR(INDEX(Номенклатура!$K:$K,MATCH(B34,Номенклатура!$A:$A,0)),0))</f>
        <v/>
      </c>
      <c r="H34" s="78" t="n"/>
      <c r="I34" s="78" t="n"/>
    </row>
    <row r="35" ht="15" customHeight="1" s="49">
      <c r="A35" s="78" t="n"/>
      <c r="B35" s="78" t="n"/>
      <c r="C35" s="78" t="n"/>
      <c r="D35" s="78" t="n"/>
      <c r="E35" s="78" t="n"/>
      <c r="F35" s="78" t="n"/>
      <c r="G35" s="76">
        <f>IF(B35="","",C35*IFERROR(INDEX(Номенклатура!$K:$K,MATCH(B35,Номенклатура!$A:$A,0)),0))</f>
        <v/>
      </c>
      <c r="H35" s="78" t="n"/>
      <c r="I35" s="78" t="n"/>
    </row>
    <row r="36" ht="15" customHeight="1" s="49">
      <c r="A36" s="78" t="n"/>
      <c r="B36" s="78" t="n"/>
      <c r="C36" s="78" t="n"/>
      <c r="D36" s="78" t="n"/>
      <c r="E36" s="78" t="n"/>
      <c r="F36" s="78" t="n"/>
      <c r="G36" s="76">
        <f>IF(B36="","",C36*IFERROR(INDEX(Номенклатура!$K:$K,MATCH(B36,Номенклатура!$A:$A,0)),0))</f>
        <v/>
      </c>
      <c r="H36" s="78" t="n"/>
      <c r="I36" s="78" t="n"/>
    </row>
    <row r="37" ht="15" customHeight="1" s="49">
      <c r="A37" s="78" t="n"/>
      <c r="B37" s="78" t="n"/>
      <c r="C37" s="78" t="n"/>
      <c r="D37" s="78" t="n"/>
      <c r="E37" s="78" t="n"/>
      <c r="F37" s="78" t="n"/>
      <c r="G37" s="76">
        <f>IF(B37="","",C37*IFERROR(INDEX(Номенклатура!$K:$K,MATCH(B37,Номенклатура!$A:$A,0)),0))</f>
        <v/>
      </c>
      <c r="H37" s="78" t="n"/>
      <c r="I37" s="78" t="n"/>
    </row>
    <row r="38" ht="15" customHeight="1" s="49">
      <c r="A38" s="78" t="n"/>
      <c r="B38" s="78" t="n"/>
      <c r="C38" s="78" t="n"/>
      <c r="D38" s="78" t="n"/>
      <c r="E38" s="78" t="n"/>
      <c r="F38" s="78" t="n"/>
      <c r="G38" s="76">
        <f>IF(B38="","",C38*IFERROR(INDEX(Номенклатура!$K:$K,MATCH(B38,Номенклатура!$A:$A,0)),0))</f>
        <v/>
      </c>
      <c r="H38" s="78" t="n"/>
      <c r="I38" s="78" t="n"/>
    </row>
    <row r="39" ht="15" customHeight="1" s="49">
      <c r="A39" s="78" t="n"/>
      <c r="B39" s="78" t="n"/>
      <c r="C39" s="78" t="n"/>
      <c r="D39" s="78" t="n"/>
      <c r="E39" s="78" t="n"/>
      <c r="F39" s="78" t="n"/>
      <c r="G39" s="76">
        <f>IF(B39="","",C39*IFERROR(INDEX(Номенклатура!$K:$K,MATCH(B39,Номенклатура!$A:$A,0)),0))</f>
        <v/>
      </c>
      <c r="H39" s="78" t="n"/>
      <c r="I39" s="7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S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48" min="1" max="1"/>
    <col width="14" customWidth="1" style="48" min="2" max="2"/>
    <col width="26" customWidth="1" style="48" min="3" max="3"/>
    <col width="10" customWidth="1" style="48" min="4" max="4"/>
    <col width="16" customWidth="1" style="48" min="5" max="7"/>
    <col width="12" customWidth="1" style="48" min="8" max="8"/>
    <col width="16" customWidth="1" style="48" min="9" max="9"/>
    <col width="20" customWidth="1" style="48" min="10" max="10"/>
    <col width="16" customWidth="1" style="48" min="11" max="12"/>
    <col width="12" customWidth="1" style="48" min="13" max="13"/>
    <col width="14" customWidth="1" style="48" min="14" max="14"/>
    <col width="28" customWidth="1" style="48" min="15" max="15"/>
    <col width="20" customWidth="1" style="49" min="16" max="16"/>
    <col width="20" customWidth="1" style="49" min="17" max="17"/>
    <col width="22" customWidth="1" style="49" min="18" max="18"/>
    <col width="20" customWidth="1" style="49" min="19" max="19"/>
  </cols>
  <sheetData>
    <row r="1" ht="34.5" customHeight="1" s="49">
      <c r="A1" s="61" t="inlineStr">
        <is>
          <t>Дата</t>
        </is>
      </c>
      <c r="B1" s="61" t="inlineStr">
        <is>
          <t>SKU</t>
        </is>
      </c>
      <c r="C1" s="61" t="inlineStr">
        <is>
          <t>Назва</t>
        </is>
      </c>
      <c r="D1" s="61" t="inlineStr">
        <is>
          <t>Кількість</t>
        </is>
      </c>
      <c r="E1" s="61" t="inlineStr">
        <is>
          <t>Фактична ціна за од., грн (після знижки)</t>
        </is>
      </c>
      <c r="F1" s="61" t="inlineStr">
        <is>
          <t>Собівартість Сергія за од., грн</t>
        </is>
      </c>
      <c r="G1" s="61" t="inlineStr">
        <is>
          <t>Витрати BoosterShop за од., грн</t>
        </is>
      </c>
      <c r="H1" s="61" t="inlineStr">
        <is>
          <t>% прибутку Сергію</t>
        </is>
      </c>
      <c r="I1" s="61" t="inlineStr">
        <is>
          <t>Маржинальний прибуток за од., грн</t>
        </is>
      </c>
      <c r="J1" s="61" t="inlineStr">
        <is>
          <t>Статус</t>
        </is>
      </c>
      <c r="K1" s="61" t="inlineStr">
        <is>
          <t>Нараховано Сергію, грн</t>
        </is>
      </c>
      <c r="L1" s="61" t="inlineStr">
        <is>
          <t>Дохід Booster Shop, грн</t>
        </is>
      </c>
      <c r="M1" s="61" t="inlineStr">
        <is>
          <t>Канал</t>
        </is>
      </c>
      <c r="N1" s="61" t="inlineStr">
        <is>
          <t>№ замовлення</t>
        </is>
      </c>
      <c r="O1" s="61" t="inlineStr">
        <is>
          <t>Примітки</t>
        </is>
      </c>
      <c r="P1" s="90" t="inlineStr">
        <is>
          <t>Тип знижки</t>
        </is>
      </c>
      <c r="Q1" s="90" t="inlineStr">
        <is>
          <t>Параметр знижки</t>
        </is>
      </c>
      <c r="R1" s="90" t="inlineStr">
        <is>
          <t>Погоджено з Сергієм (Так/Ні)</t>
        </is>
      </c>
      <c r="S1" s="91" t="inlineStr">
        <is>
          <t>Період (авто, РРРР-ММ)</t>
        </is>
      </c>
    </row>
    <row r="2" ht="15" customHeight="1" s="49">
      <c r="A2" s="63" t="inlineStr">
        <is>
          <t>2026-07-25</t>
        </is>
      </c>
      <c r="B2" s="63" t="inlineStr">
        <is>
          <t>ПРИКЛАД-001</t>
        </is>
      </c>
      <c r="C2" s="63">
        <f>IF(B2="","",IFERROR(INDEX(Номенклатура!$B:$B,MATCH(B2,Номенклатура!$A:$A,0)),""))</f>
        <v/>
      </c>
      <c r="D2" s="63" t="n">
        <v>1</v>
      </c>
      <c r="E2" s="64" t="n">
        <v>350</v>
      </c>
      <c r="F2" s="65">
        <f>IF(B2="","",IFERROR(INDEX(Номенклатура!$K:$K,MATCH(B2,Номенклатура!$A:$A,0)),0))</f>
        <v/>
      </c>
      <c r="G2" s="64" t="n">
        <v>20</v>
      </c>
      <c r="H2" s="79" t="n">
        <v>0.5</v>
      </c>
      <c r="I2" s="65">
        <f>IF(OR(B2="",E2=""),"",E2-F2-G2)</f>
        <v/>
      </c>
      <c r="J2" s="63">
        <f>IF(I2="","",IF(I2&lt;0,"⚠ ЗБИТКОВИЙ — рішення власника","ОК"))</f>
        <v/>
      </c>
      <c r="K2" s="65">
        <f>IF(OR(I2="",I2&lt;0),"див. Статус",D2*(F2+H2*I2))</f>
        <v/>
      </c>
      <c r="L2" s="65">
        <f>IF(OR(I2="",I2&lt;0),"див. Статус",D2*I2*(1-H2))</f>
        <v/>
      </c>
      <c r="M2" s="63" t="inlineStr">
        <is>
          <t>Сайт</t>
        </is>
      </c>
      <c r="N2" s="63" t="inlineStr">
        <is>
          <t>—</t>
        </is>
      </c>
      <c r="O2" s="63" t="inlineStr">
        <is>
          <t>приклад — видалити; ціна й витрати тут довільні, не рішення власника</t>
        </is>
      </c>
      <c r="S2" s="92">
        <f>IF(A2="","",LEFT(A2,7))</f>
        <v/>
      </c>
    </row>
    <row r="3" ht="15" customHeight="1" s="49">
      <c r="A3" s="78" t="n"/>
      <c r="B3" s="78" t="n"/>
      <c r="C3" s="80">
        <f>IF(B3="","",IFERROR(INDEX(Номенклатура!$B:$B,MATCH(B3,Номенклатура!$A:$A,0)),""))</f>
        <v/>
      </c>
      <c r="D3" s="78" t="n"/>
      <c r="E3" s="81" t="n"/>
      <c r="F3" s="76">
        <f>IF(B3="","",IFERROR(INDEX(Номенклатура!$K:$K,MATCH(B3,Номенклатура!$A:$A,0)),0))</f>
        <v/>
      </c>
      <c r="G3" s="81" t="n"/>
      <c r="H3" s="82" t="n"/>
      <c r="I3" s="76">
        <f>IF(OR(B3="",E3=""),"",E3-F3-G3)</f>
        <v/>
      </c>
      <c r="J3" s="80">
        <f>IF(I3="","",IF(I3&lt;0,"⚠ ЗБИТКОВИЙ — рішення власника","ОК"))</f>
        <v/>
      </c>
      <c r="K3" s="76">
        <f>IF(OR(I3="",I3&lt;0),"див. Статус",D3*(F3+H3*I3))</f>
        <v/>
      </c>
      <c r="L3" s="76">
        <f>IF(OR(I3="",I3&lt;0),"див. Статус",D3*I3*(1-H3))</f>
        <v/>
      </c>
      <c r="M3" s="78" t="n"/>
      <c r="N3" s="78" t="n"/>
      <c r="O3" s="78" t="n"/>
      <c r="S3" s="92">
        <f>IF(A3="","",LEFT(A3,7))</f>
        <v/>
      </c>
    </row>
    <row r="4" ht="15" customHeight="1" s="49">
      <c r="A4" s="78" t="n"/>
      <c r="B4" s="78" t="n"/>
      <c r="C4" s="80">
        <f>IF(B4="","",IFERROR(INDEX(Номенклатура!$B:$B,MATCH(B4,Номенклатура!$A:$A,0)),""))</f>
        <v/>
      </c>
      <c r="D4" s="78" t="n"/>
      <c r="E4" s="81" t="n"/>
      <c r="F4" s="76">
        <f>IF(B4="","",IFERROR(INDEX(Номенклатура!$K:$K,MATCH(B4,Номенклатура!$A:$A,0)),0))</f>
        <v/>
      </c>
      <c r="G4" s="81" t="n"/>
      <c r="H4" s="82" t="n"/>
      <c r="I4" s="76">
        <f>IF(OR(B4="",E4=""),"",E4-F4-G4)</f>
        <v/>
      </c>
      <c r="J4" s="80">
        <f>IF(I4="","",IF(I4&lt;0,"⚠ ЗБИТКОВИЙ — рішення власника","ОК"))</f>
        <v/>
      </c>
      <c r="K4" s="76">
        <f>IF(OR(I4="",I4&lt;0),"див. Статус",D4*(F4+H4*I4))</f>
        <v/>
      </c>
      <c r="L4" s="76">
        <f>IF(OR(I4="",I4&lt;0),"див. Статус",D4*I4*(1-H4))</f>
        <v/>
      </c>
      <c r="M4" s="78" t="n"/>
      <c r="N4" s="78" t="n"/>
      <c r="O4" s="78" t="n"/>
      <c r="S4" s="92">
        <f>IF(A4="","",LEFT(A4,7))</f>
        <v/>
      </c>
    </row>
    <row r="5" ht="15" customHeight="1" s="49">
      <c r="A5" s="78" t="n"/>
      <c r="B5" s="78" t="n"/>
      <c r="C5" s="80">
        <f>IF(B5="","",IFERROR(INDEX(Номенклатура!$B:$B,MATCH(B5,Номенклатура!$A:$A,0)),""))</f>
        <v/>
      </c>
      <c r="D5" s="78" t="n"/>
      <c r="E5" s="81" t="n"/>
      <c r="F5" s="76">
        <f>IF(B5="","",IFERROR(INDEX(Номенклатура!$K:$K,MATCH(B5,Номенклатура!$A:$A,0)),0))</f>
        <v/>
      </c>
      <c r="G5" s="81" t="n"/>
      <c r="H5" s="82" t="n"/>
      <c r="I5" s="76">
        <f>IF(OR(B5="",E5=""),"",E5-F5-G5)</f>
        <v/>
      </c>
      <c r="J5" s="80">
        <f>IF(I5="","",IF(I5&lt;0,"⚠ ЗБИТКОВИЙ — рішення власника","ОК"))</f>
        <v/>
      </c>
      <c r="K5" s="76">
        <f>IF(OR(I5="",I5&lt;0),"див. Статус",D5*(F5+H5*I5))</f>
        <v/>
      </c>
      <c r="L5" s="76">
        <f>IF(OR(I5="",I5&lt;0),"див. Статус",D5*I5*(1-H5))</f>
        <v/>
      </c>
      <c r="M5" s="78" t="n"/>
      <c r="N5" s="78" t="n"/>
      <c r="O5" s="78" t="n"/>
      <c r="S5" s="92">
        <f>IF(A5="","",LEFT(A5,7))</f>
        <v/>
      </c>
    </row>
    <row r="6" ht="15" customHeight="1" s="49">
      <c r="A6" s="78" t="n"/>
      <c r="B6" s="78" t="n"/>
      <c r="C6" s="80">
        <f>IF(B6="","",IFERROR(INDEX(Номенклатура!$B:$B,MATCH(B6,Номенклатура!$A:$A,0)),""))</f>
        <v/>
      </c>
      <c r="D6" s="78" t="n"/>
      <c r="E6" s="81" t="n"/>
      <c r="F6" s="76">
        <f>IF(B6="","",IFERROR(INDEX(Номенклатура!$K:$K,MATCH(B6,Номенклатура!$A:$A,0)),0))</f>
        <v/>
      </c>
      <c r="G6" s="81" t="n"/>
      <c r="H6" s="82" t="n"/>
      <c r="I6" s="76">
        <f>IF(OR(B6="",E6=""),"",E6-F6-G6)</f>
        <v/>
      </c>
      <c r="J6" s="80">
        <f>IF(I6="","",IF(I6&lt;0,"⚠ ЗБИТКОВИЙ — рішення власника","ОК"))</f>
        <v/>
      </c>
      <c r="K6" s="76">
        <f>IF(OR(I6="",I6&lt;0),"див. Статус",D6*(F6+H6*I6))</f>
        <v/>
      </c>
      <c r="L6" s="76">
        <f>IF(OR(I6="",I6&lt;0),"див. Статус",D6*I6*(1-H6))</f>
        <v/>
      </c>
      <c r="M6" s="78" t="n"/>
      <c r="N6" s="78" t="n"/>
      <c r="O6" s="78" t="n"/>
      <c r="S6" s="92">
        <f>IF(A6="","",LEFT(A6,7))</f>
        <v/>
      </c>
    </row>
    <row r="7" ht="15" customHeight="1" s="49">
      <c r="A7" s="78" t="n"/>
      <c r="B7" s="78" t="n"/>
      <c r="C7" s="80">
        <f>IF(B7="","",IFERROR(INDEX(Номенклатура!$B:$B,MATCH(B7,Номенклатура!$A:$A,0)),""))</f>
        <v/>
      </c>
      <c r="D7" s="78" t="n"/>
      <c r="E7" s="81" t="n"/>
      <c r="F7" s="76">
        <f>IF(B7="","",IFERROR(INDEX(Номенклатура!$K:$K,MATCH(B7,Номенклатура!$A:$A,0)),0))</f>
        <v/>
      </c>
      <c r="G7" s="81" t="n"/>
      <c r="H7" s="82" t="n"/>
      <c r="I7" s="76">
        <f>IF(OR(B7="",E7=""),"",E7-F7-G7)</f>
        <v/>
      </c>
      <c r="J7" s="80">
        <f>IF(I7="","",IF(I7&lt;0,"⚠ ЗБИТКОВИЙ — рішення власника","ОК"))</f>
        <v/>
      </c>
      <c r="K7" s="76">
        <f>IF(OR(I7="",I7&lt;0),"див. Статус",D7*(F7+H7*I7))</f>
        <v/>
      </c>
      <c r="L7" s="76">
        <f>IF(OR(I7="",I7&lt;0),"див. Статус",D7*I7*(1-H7))</f>
        <v/>
      </c>
      <c r="M7" s="78" t="n"/>
      <c r="N7" s="78" t="n"/>
      <c r="O7" s="78" t="n"/>
      <c r="S7" s="92">
        <f>IF(A7="","",LEFT(A7,7))</f>
        <v/>
      </c>
    </row>
    <row r="8" ht="15" customHeight="1" s="49">
      <c r="A8" s="78" t="n"/>
      <c r="B8" s="78" t="n"/>
      <c r="C8" s="80">
        <f>IF(B8="","",IFERROR(INDEX(Номенклатура!$B:$B,MATCH(B8,Номенклатура!$A:$A,0)),""))</f>
        <v/>
      </c>
      <c r="D8" s="78" t="n"/>
      <c r="E8" s="81" t="n"/>
      <c r="F8" s="76">
        <f>IF(B8="","",IFERROR(INDEX(Номенклатура!$K:$K,MATCH(B8,Номенклатура!$A:$A,0)),0))</f>
        <v/>
      </c>
      <c r="G8" s="81" t="n"/>
      <c r="H8" s="82" t="n"/>
      <c r="I8" s="76">
        <f>IF(OR(B8="",E8=""),"",E8-F8-G8)</f>
        <v/>
      </c>
      <c r="J8" s="80">
        <f>IF(I8="","",IF(I8&lt;0,"⚠ ЗБИТКОВИЙ — рішення власника","ОК"))</f>
        <v/>
      </c>
      <c r="K8" s="76">
        <f>IF(OR(I8="",I8&lt;0),"див. Статус",D8*(F8+H8*I8))</f>
        <v/>
      </c>
      <c r="L8" s="76">
        <f>IF(OR(I8="",I8&lt;0),"див. Статус",D8*I8*(1-H8))</f>
        <v/>
      </c>
      <c r="M8" s="78" t="n"/>
      <c r="N8" s="78" t="n"/>
      <c r="O8" s="78" t="n"/>
      <c r="S8" s="92">
        <f>IF(A8="","",LEFT(A8,7))</f>
        <v/>
      </c>
    </row>
    <row r="9" ht="15" customHeight="1" s="49">
      <c r="A9" s="78" t="n"/>
      <c r="B9" s="78" t="n"/>
      <c r="C9" s="80">
        <f>IF(B9="","",IFERROR(INDEX(Номенклатура!$B:$B,MATCH(B9,Номенклатура!$A:$A,0)),""))</f>
        <v/>
      </c>
      <c r="D9" s="78" t="n"/>
      <c r="E9" s="81" t="n"/>
      <c r="F9" s="76">
        <f>IF(B9="","",IFERROR(INDEX(Номенклатура!$K:$K,MATCH(B9,Номенклатура!$A:$A,0)),0))</f>
        <v/>
      </c>
      <c r="G9" s="81" t="n"/>
      <c r="H9" s="82" t="n"/>
      <c r="I9" s="76">
        <f>IF(OR(B9="",E9=""),"",E9-F9-G9)</f>
        <v/>
      </c>
      <c r="J9" s="80">
        <f>IF(I9="","",IF(I9&lt;0,"⚠ ЗБИТКОВИЙ — рішення власника","ОК"))</f>
        <v/>
      </c>
      <c r="K9" s="76">
        <f>IF(OR(I9="",I9&lt;0),"див. Статус",D9*(F9+H9*I9))</f>
        <v/>
      </c>
      <c r="L9" s="76">
        <f>IF(OR(I9="",I9&lt;0),"див. Статус",D9*I9*(1-H9))</f>
        <v/>
      </c>
      <c r="M9" s="78" t="n"/>
      <c r="N9" s="78" t="n"/>
      <c r="O9" s="78" t="n"/>
      <c r="S9" s="92">
        <f>IF(A9="","",LEFT(A9,7))</f>
        <v/>
      </c>
    </row>
    <row r="10" ht="15" customHeight="1" s="49">
      <c r="A10" s="78" t="n"/>
      <c r="B10" s="78" t="n"/>
      <c r="C10" s="80">
        <f>IF(B10="","",IFERROR(INDEX(Номенклатура!$B:$B,MATCH(B10,Номенклатура!$A:$A,0)),""))</f>
        <v/>
      </c>
      <c r="D10" s="78" t="n"/>
      <c r="E10" s="81" t="n"/>
      <c r="F10" s="76">
        <f>IF(B10="","",IFERROR(INDEX(Номенклатура!$K:$K,MATCH(B10,Номенклатура!$A:$A,0)),0))</f>
        <v/>
      </c>
      <c r="G10" s="81" t="n"/>
      <c r="H10" s="82" t="n"/>
      <c r="I10" s="76">
        <f>IF(OR(B10="",E10=""),"",E10-F10-G10)</f>
        <v/>
      </c>
      <c r="J10" s="80">
        <f>IF(I10="","",IF(I10&lt;0,"⚠ ЗБИТКОВИЙ — рішення власника","ОК"))</f>
        <v/>
      </c>
      <c r="K10" s="76">
        <f>IF(OR(I10="",I10&lt;0),"див. Статус",D10*(F10+H10*I10))</f>
        <v/>
      </c>
      <c r="L10" s="76">
        <f>IF(OR(I10="",I10&lt;0),"див. Статус",D10*I10*(1-H10))</f>
        <v/>
      </c>
      <c r="M10" s="78" t="n"/>
      <c r="N10" s="78" t="n"/>
      <c r="O10" s="78" t="n"/>
      <c r="S10" s="92">
        <f>IF(A10="","",LEFT(A10,7))</f>
        <v/>
      </c>
    </row>
    <row r="11" ht="15" customHeight="1" s="49">
      <c r="A11" s="78" t="n"/>
      <c r="B11" s="78" t="n"/>
      <c r="C11" s="80">
        <f>IF(B11="","",IFERROR(INDEX(Номенклатура!$B:$B,MATCH(B11,Номенклатура!$A:$A,0)),""))</f>
        <v/>
      </c>
      <c r="D11" s="78" t="n"/>
      <c r="E11" s="81" t="n"/>
      <c r="F11" s="76">
        <f>IF(B11="","",IFERROR(INDEX(Номенклатура!$K:$K,MATCH(B11,Номенклатура!$A:$A,0)),0))</f>
        <v/>
      </c>
      <c r="G11" s="81" t="n"/>
      <c r="H11" s="82" t="n"/>
      <c r="I11" s="76">
        <f>IF(OR(B11="",E11=""),"",E11-F11-G11)</f>
        <v/>
      </c>
      <c r="J11" s="80">
        <f>IF(I11="","",IF(I11&lt;0,"⚠ ЗБИТКОВИЙ — рішення власника","ОК"))</f>
        <v/>
      </c>
      <c r="K11" s="76">
        <f>IF(OR(I11="",I11&lt;0),"див. Статус",D11*(F11+H11*I11))</f>
        <v/>
      </c>
      <c r="L11" s="76">
        <f>IF(OR(I11="",I11&lt;0),"див. Статус",D11*I11*(1-H11))</f>
        <v/>
      </c>
      <c r="M11" s="78" t="n"/>
      <c r="N11" s="78" t="n"/>
      <c r="O11" s="78" t="n"/>
      <c r="S11" s="92">
        <f>IF(A11="","",LEFT(A11,7))</f>
        <v/>
      </c>
    </row>
    <row r="12" ht="15" customHeight="1" s="49">
      <c r="A12" s="78" t="n"/>
      <c r="B12" s="78" t="n"/>
      <c r="C12" s="80">
        <f>IF(B12="","",IFERROR(INDEX(Номенклатура!$B:$B,MATCH(B12,Номенклатура!$A:$A,0)),""))</f>
        <v/>
      </c>
      <c r="D12" s="78" t="n"/>
      <c r="E12" s="81" t="n"/>
      <c r="F12" s="76">
        <f>IF(B12="","",IFERROR(INDEX(Номенклатура!$K:$K,MATCH(B12,Номенклатура!$A:$A,0)),0))</f>
        <v/>
      </c>
      <c r="G12" s="81" t="n"/>
      <c r="H12" s="82" t="n"/>
      <c r="I12" s="76">
        <f>IF(OR(B12="",E12=""),"",E12-F12-G12)</f>
        <v/>
      </c>
      <c r="J12" s="80">
        <f>IF(I12="","",IF(I12&lt;0,"⚠ ЗБИТКОВИЙ — рішення власника","ОК"))</f>
        <v/>
      </c>
      <c r="K12" s="76">
        <f>IF(OR(I12="",I12&lt;0),"див. Статус",D12*(F12+H12*I12))</f>
        <v/>
      </c>
      <c r="L12" s="76">
        <f>IF(OR(I12="",I12&lt;0),"див. Статус",D12*I12*(1-H12))</f>
        <v/>
      </c>
      <c r="M12" s="78" t="n"/>
      <c r="N12" s="78" t="n"/>
      <c r="O12" s="78" t="n"/>
      <c r="S12" s="92">
        <f>IF(A12="","",LEFT(A12,7))</f>
        <v/>
      </c>
    </row>
    <row r="13" ht="15" customHeight="1" s="49">
      <c r="A13" s="78" t="n"/>
      <c r="B13" s="78" t="n"/>
      <c r="C13" s="80">
        <f>IF(B13="","",IFERROR(INDEX(Номенклатура!$B:$B,MATCH(B13,Номенклатура!$A:$A,0)),""))</f>
        <v/>
      </c>
      <c r="D13" s="78" t="n"/>
      <c r="E13" s="81" t="n"/>
      <c r="F13" s="76">
        <f>IF(B13="","",IFERROR(INDEX(Номенклатура!$K:$K,MATCH(B13,Номенклатура!$A:$A,0)),0))</f>
        <v/>
      </c>
      <c r="G13" s="81" t="n"/>
      <c r="H13" s="82" t="n"/>
      <c r="I13" s="76">
        <f>IF(OR(B13="",E13=""),"",E13-F13-G13)</f>
        <v/>
      </c>
      <c r="J13" s="80">
        <f>IF(I13="","",IF(I13&lt;0,"⚠ ЗБИТКОВИЙ — рішення власника","ОК"))</f>
        <v/>
      </c>
      <c r="K13" s="76">
        <f>IF(OR(I13="",I13&lt;0),"див. Статус",D13*(F13+H13*I13))</f>
        <v/>
      </c>
      <c r="L13" s="76">
        <f>IF(OR(I13="",I13&lt;0),"див. Статус",D13*I13*(1-H13))</f>
        <v/>
      </c>
      <c r="M13" s="78" t="n"/>
      <c r="N13" s="78" t="n"/>
      <c r="O13" s="78" t="n"/>
      <c r="S13" s="92">
        <f>IF(A13="","",LEFT(A13,7))</f>
        <v/>
      </c>
    </row>
    <row r="14" ht="15" customHeight="1" s="49">
      <c r="A14" s="78" t="n"/>
      <c r="B14" s="78" t="n"/>
      <c r="C14" s="80">
        <f>IF(B14="","",IFERROR(INDEX(Номенклатура!$B:$B,MATCH(B14,Номенклатура!$A:$A,0)),""))</f>
        <v/>
      </c>
      <c r="D14" s="78" t="n"/>
      <c r="E14" s="81" t="n"/>
      <c r="F14" s="76">
        <f>IF(B14="","",IFERROR(INDEX(Номенклатура!$K:$K,MATCH(B14,Номенклатура!$A:$A,0)),0))</f>
        <v/>
      </c>
      <c r="G14" s="81" t="n"/>
      <c r="H14" s="82" t="n"/>
      <c r="I14" s="76">
        <f>IF(OR(B14="",E14=""),"",E14-F14-G14)</f>
        <v/>
      </c>
      <c r="J14" s="80">
        <f>IF(I14="","",IF(I14&lt;0,"⚠ ЗБИТКОВИЙ — рішення власника","ОК"))</f>
        <v/>
      </c>
      <c r="K14" s="76">
        <f>IF(OR(I14="",I14&lt;0),"див. Статус",D14*(F14+H14*I14))</f>
        <v/>
      </c>
      <c r="L14" s="76">
        <f>IF(OR(I14="",I14&lt;0),"див. Статус",D14*I14*(1-H14))</f>
        <v/>
      </c>
      <c r="M14" s="78" t="n"/>
      <c r="N14" s="78" t="n"/>
      <c r="O14" s="78" t="n"/>
      <c r="S14" s="92">
        <f>IF(A14="","",LEFT(A14,7))</f>
        <v/>
      </c>
    </row>
    <row r="15" ht="15" customHeight="1" s="49">
      <c r="A15" s="78" t="n"/>
      <c r="B15" s="78" t="n"/>
      <c r="C15" s="80">
        <f>IF(B15="","",IFERROR(INDEX(Номенклатура!$B:$B,MATCH(B15,Номенклатура!$A:$A,0)),""))</f>
        <v/>
      </c>
      <c r="D15" s="78" t="n"/>
      <c r="E15" s="81" t="n"/>
      <c r="F15" s="76">
        <f>IF(B15="","",IFERROR(INDEX(Номенклатура!$K:$K,MATCH(B15,Номенклатура!$A:$A,0)),0))</f>
        <v/>
      </c>
      <c r="G15" s="81" t="n"/>
      <c r="H15" s="82" t="n"/>
      <c r="I15" s="76">
        <f>IF(OR(B15="",E15=""),"",E15-F15-G15)</f>
        <v/>
      </c>
      <c r="J15" s="80">
        <f>IF(I15="","",IF(I15&lt;0,"⚠ ЗБИТКОВИЙ — рішення власника","ОК"))</f>
        <v/>
      </c>
      <c r="K15" s="76">
        <f>IF(OR(I15="",I15&lt;0),"див. Статус",D15*(F15+H15*I15))</f>
        <v/>
      </c>
      <c r="L15" s="76">
        <f>IF(OR(I15="",I15&lt;0),"див. Статус",D15*I15*(1-H15))</f>
        <v/>
      </c>
      <c r="M15" s="78" t="n"/>
      <c r="N15" s="78" t="n"/>
      <c r="O15" s="78" t="n"/>
      <c r="S15" s="92">
        <f>IF(A15="","",LEFT(A15,7))</f>
        <v/>
      </c>
    </row>
    <row r="16" ht="15" customHeight="1" s="49">
      <c r="A16" s="78" t="n"/>
      <c r="B16" s="78" t="n"/>
      <c r="C16" s="80">
        <f>IF(B16="","",IFERROR(INDEX(Номенклатура!$B:$B,MATCH(B16,Номенклатура!$A:$A,0)),""))</f>
        <v/>
      </c>
      <c r="D16" s="78" t="n"/>
      <c r="E16" s="81" t="n"/>
      <c r="F16" s="76">
        <f>IF(B16="","",IFERROR(INDEX(Номенклатура!$K:$K,MATCH(B16,Номенклатура!$A:$A,0)),0))</f>
        <v/>
      </c>
      <c r="G16" s="81" t="n"/>
      <c r="H16" s="82" t="n"/>
      <c r="I16" s="76">
        <f>IF(OR(B16="",E16=""),"",E16-F16-G16)</f>
        <v/>
      </c>
      <c r="J16" s="80">
        <f>IF(I16="","",IF(I16&lt;0,"⚠ ЗБИТКОВИЙ — рішення власника","ОК"))</f>
        <v/>
      </c>
      <c r="K16" s="76">
        <f>IF(OR(I16="",I16&lt;0),"див. Статус",D16*(F16+H16*I16))</f>
        <v/>
      </c>
      <c r="L16" s="76">
        <f>IF(OR(I16="",I16&lt;0),"див. Статус",D16*I16*(1-H16))</f>
        <v/>
      </c>
      <c r="M16" s="78" t="n"/>
      <c r="N16" s="78" t="n"/>
      <c r="O16" s="78" t="n"/>
      <c r="S16" s="92">
        <f>IF(A16="","",LEFT(A16,7))</f>
        <v/>
      </c>
    </row>
    <row r="17" ht="15" customHeight="1" s="49">
      <c r="A17" s="78" t="n"/>
      <c r="B17" s="78" t="n"/>
      <c r="C17" s="80">
        <f>IF(B17="","",IFERROR(INDEX(Номенклатура!$B:$B,MATCH(B17,Номенклатура!$A:$A,0)),""))</f>
        <v/>
      </c>
      <c r="D17" s="78" t="n"/>
      <c r="E17" s="81" t="n"/>
      <c r="F17" s="76">
        <f>IF(B17="","",IFERROR(INDEX(Номенклатура!$K:$K,MATCH(B17,Номенклатура!$A:$A,0)),0))</f>
        <v/>
      </c>
      <c r="G17" s="81" t="n"/>
      <c r="H17" s="82" t="n"/>
      <c r="I17" s="76">
        <f>IF(OR(B17="",E17=""),"",E17-F17-G17)</f>
        <v/>
      </c>
      <c r="J17" s="80">
        <f>IF(I17="","",IF(I17&lt;0,"⚠ ЗБИТКОВИЙ — рішення власника","ОК"))</f>
        <v/>
      </c>
      <c r="K17" s="76">
        <f>IF(OR(I17="",I17&lt;0),"див. Статус",D17*(F17+H17*I17))</f>
        <v/>
      </c>
      <c r="L17" s="76">
        <f>IF(OR(I17="",I17&lt;0),"див. Статус",D17*I17*(1-H17))</f>
        <v/>
      </c>
      <c r="M17" s="78" t="n"/>
      <c r="N17" s="78" t="n"/>
      <c r="O17" s="78" t="n"/>
      <c r="S17" s="92">
        <f>IF(A17="","",LEFT(A17,7))</f>
        <v/>
      </c>
    </row>
    <row r="18" ht="15" customHeight="1" s="49">
      <c r="A18" s="78" t="n"/>
      <c r="B18" s="78" t="n"/>
      <c r="C18" s="80">
        <f>IF(B18="","",IFERROR(INDEX(Номенклатура!$B:$B,MATCH(B18,Номенклатура!$A:$A,0)),""))</f>
        <v/>
      </c>
      <c r="D18" s="78" t="n"/>
      <c r="E18" s="81" t="n"/>
      <c r="F18" s="76">
        <f>IF(B18="","",IFERROR(INDEX(Номенклатура!$K:$K,MATCH(B18,Номенклатура!$A:$A,0)),0))</f>
        <v/>
      </c>
      <c r="G18" s="81" t="n"/>
      <c r="H18" s="82" t="n"/>
      <c r="I18" s="76">
        <f>IF(OR(B18="",E18=""),"",E18-F18-G18)</f>
        <v/>
      </c>
      <c r="J18" s="80">
        <f>IF(I18="","",IF(I18&lt;0,"⚠ ЗБИТКОВИЙ — рішення власника","ОК"))</f>
        <v/>
      </c>
      <c r="K18" s="76">
        <f>IF(OR(I18="",I18&lt;0),"див. Статус",D18*(F18+H18*I18))</f>
        <v/>
      </c>
      <c r="L18" s="76">
        <f>IF(OR(I18="",I18&lt;0),"див. Статус",D18*I18*(1-H18))</f>
        <v/>
      </c>
      <c r="M18" s="78" t="n"/>
      <c r="N18" s="78" t="n"/>
      <c r="O18" s="78" t="n"/>
      <c r="S18" s="92">
        <f>IF(A18="","",LEFT(A18,7))</f>
        <v/>
      </c>
    </row>
    <row r="19" ht="15" customHeight="1" s="49">
      <c r="A19" s="78" t="n"/>
      <c r="B19" s="78" t="n"/>
      <c r="C19" s="80">
        <f>IF(B19="","",IFERROR(INDEX(Номенклатура!$B:$B,MATCH(B19,Номенклатура!$A:$A,0)),""))</f>
        <v/>
      </c>
      <c r="D19" s="78" t="n"/>
      <c r="E19" s="81" t="n"/>
      <c r="F19" s="76">
        <f>IF(B19="","",IFERROR(INDEX(Номенклатура!$K:$K,MATCH(B19,Номенклатура!$A:$A,0)),0))</f>
        <v/>
      </c>
      <c r="G19" s="81" t="n"/>
      <c r="H19" s="82" t="n"/>
      <c r="I19" s="76">
        <f>IF(OR(B19="",E19=""),"",E19-F19-G19)</f>
        <v/>
      </c>
      <c r="J19" s="80">
        <f>IF(I19="","",IF(I19&lt;0,"⚠ ЗБИТКОВИЙ — рішення власника","ОК"))</f>
        <v/>
      </c>
      <c r="K19" s="76">
        <f>IF(OR(I19="",I19&lt;0),"див. Статус",D19*(F19+H19*I19))</f>
        <v/>
      </c>
      <c r="L19" s="76">
        <f>IF(OR(I19="",I19&lt;0),"див. Статус",D19*I19*(1-H19))</f>
        <v/>
      </c>
      <c r="M19" s="78" t="n"/>
      <c r="N19" s="78" t="n"/>
      <c r="O19" s="78" t="n"/>
      <c r="S19" s="92">
        <f>IF(A19="","",LEFT(A19,7))</f>
        <v/>
      </c>
    </row>
    <row r="20" ht="15" customHeight="1" s="49">
      <c r="A20" s="78" t="n"/>
      <c r="B20" s="78" t="n"/>
      <c r="C20" s="80">
        <f>IF(B20="","",IFERROR(INDEX(Номенклатура!$B:$B,MATCH(B20,Номенклатура!$A:$A,0)),""))</f>
        <v/>
      </c>
      <c r="D20" s="78" t="n"/>
      <c r="E20" s="81" t="n"/>
      <c r="F20" s="76">
        <f>IF(B20="","",IFERROR(INDEX(Номенклатура!$K:$K,MATCH(B20,Номенклатура!$A:$A,0)),0))</f>
        <v/>
      </c>
      <c r="G20" s="81" t="n"/>
      <c r="H20" s="82" t="n"/>
      <c r="I20" s="76">
        <f>IF(OR(B20="",E20=""),"",E20-F20-G20)</f>
        <v/>
      </c>
      <c r="J20" s="80">
        <f>IF(I20="","",IF(I20&lt;0,"⚠ ЗБИТКОВИЙ — рішення власника","ОК"))</f>
        <v/>
      </c>
      <c r="K20" s="76">
        <f>IF(OR(I20="",I20&lt;0),"див. Статус",D20*(F20+H20*I20))</f>
        <v/>
      </c>
      <c r="L20" s="76">
        <f>IF(OR(I20="",I20&lt;0),"див. Статус",D20*I20*(1-H20))</f>
        <v/>
      </c>
      <c r="M20" s="78" t="n"/>
      <c r="N20" s="78" t="n"/>
      <c r="O20" s="78" t="n"/>
      <c r="S20" s="92">
        <f>IF(A20="","",LEFT(A20,7))</f>
        <v/>
      </c>
    </row>
    <row r="21" ht="15" customHeight="1" s="49">
      <c r="A21" s="78" t="n"/>
      <c r="B21" s="78" t="n"/>
      <c r="C21" s="80">
        <f>IF(B21="","",IFERROR(INDEX(Номенклатура!$B:$B,MATCH(B21,Номенклатура!$A:$A,0)),""))</f>
        <v/>
      </c>
      <c r="D21" s="78" t="n"/>
      <c r="E21" s="81" t="n"/>
      <c r="F21" s="76">
        <f>IF(B21="","",IFERROR(INDEX(Номенклатура!$K:$K,MATCH(B21,Номенклатура!$A:$A,0)),0))</f>
        <v/>
      </c>
      <c r="G21" s="81" t="n"/>
      <c r="H21" s="82" t="n"/>
      <c r="I21" s="76">
        <f>IF(OR(B21="",E21=""),"",E21-F21-G21)</f>
        <v/>
      </c>
      <c r="J21" s="80">
        <f>IF(I21="","",IF(I21&lt;0,"⚠ ЗБИТКОВИЙ — рішення власника","ОК"))</f>
        <v/>
      </c>
      <c r="K21" s="76">
        <f>IF(OR(I21="",I21&lt;0),"див. Статус",D21*(F21+H21*I21))</f>
        <v/>
      </c>
      <c r="L21" s="76">
        <f>IF(OR(I21="",I21&lt;0),"див. Статус",D21*I21*(1-H21))</f>
        <v/>
      </c>
      <c r="M21" s="78" t="n"/>
      <c r="N21" s="78" t="n"/>
      <c r="O21" s="78" t="n"/>
      <c r="S21" s="92">
        <f>IF(A21="","",LEFT(A21,7))</f>
        <v/>
      </c>
    </row>
    <row r="22" ht="15" customHeight="1" s="49">
      <c r="A22" s="78" t="n"/>
      <c r="B22" s="78" t="n"/>
      <c r="C22" s="80">
        <f>IF(B22="","",IFERROR(INDEX(Номенклатура!$B:$B,MATCH(B22,Номенклатура!$A:$A,0)),""))</f>
        <v/>
      </c>
      <c r="D22" s="78" t="n"/>
      <c r="E22" s="81" t="n"/>
      <c r="F22" s="76">
        <f>IF(B22="","",IFERROR(INDEX(Номенклатура!$K:$K,MATCH(B22,Номенклатура!$A:$A,0)),0))</f>
        <v/>
      </c>
      <c r="G22" s="81" t="n"/>
      <c r="H22" s="82" t="n"/>
      <c r="I22" s="76">
        <f>IF(OR(B22="",E22=""),"",E22-F22-G22)</f>
        <v/>
      </c>
      <c r="J22" s="80">
        <f>IF(I22="","",IF(I22&lt;0,"⚠ ЗБИТКОВИЙ — рішення власника","ОК"))</f>
        <v/>
      </c>
      <c r="K22" s="76">
        <f>IF(OR(I22="",I22&lt;0),"див. Статус",D22*(F22+H22*I22))</f>
        <v/>
      </c>
      <c r="L22" s="76">
        <f>IF(OR(I22="",I22&lt;0),"див. Статус",D22*I22*(1-H22))</f>
        <v/>
      </c>
      <c r="M22" s="78" t="n"/>
      <c r="N22" s="78" t="n"/>
      <c r="O22" s="78" t="n"/>
      <c r="S22" s="92">
        <f>IF(A22="","",LEFT(A22,7))</f>
        <v/>
      </c>
    </row>
    <row r="23" ht="15" customHeight="1" s="49">
      <c r="A23" s="78" t="n"/>
      <c r="B23" s="78" t="n"/>
      <c r="C23" s="80">
        <f>IF(B23="","",IFERROR(INDEX(Номенклатура!$B:$B,MATCH(B23,Номенклатура!$A:$A,0)),""))</f>
        <v/>
      </c>
      <c r="D23" s="78" t="n"/>
      <c r="E23" s="81" t="n"/>
      <c r="F23" s="76">
        <f>IF(B23="","",IFERROR(INDEX(Номенклатура!$K:$K,MATCH(B23,Номенклатура!$A:$A,0)),0))</f>
        <v/>
      </c>
      <c r="G23" s="81" t="n"/>
      <c r="H23" s="82" t="n"/>
      <c r="I23" s="76">
        <f>IF(OR(B23="",E23=""),"",E23-F23-G23)</f>
        <v/>
      </c>
      <c r="J23" s="80">
        <f>IF(I23="","",IF(I23&lt;0,"⚠ ЗБИТКОВИЙ — рішення власника","ОК"))</f>
        <v/>
      </c>
      <c r="K23" s="76">
        <f>IF(OR(I23="",I23&lt;0),"див. Статус",D23*(F23+H23*I23))</f>
        <v/>
      </c>
      <c r="L23" s="76">
        <f>IF(OR(I23="",I23&lt;0),"див. Статус",D23*I23*(1-H23))</f>
        <v/>
      </c>
      <c r="M23" s="78" t="n"/>
      <c r="N23" s="78" t="n"/>
      <c r="O23" s="78" t="n"/>
      <c r="S23" s="92">
        <f>IF(A23="","",LEFT(A23,7))</f>
        <v/>
      </c>
    </row>
    <row r="24" ht="15" customHeight="1" s="49">
      <c r="A24" s="78" t="n"/>
      <c r="B24" s="78" t="n"/>
      <c r="C24" s="80">
        <f>IF(B24="","",IFERROR(INDEX(Номенклатура!$B:$B,MATCH(B24,Номенклатура!$A:$A,0)),""))</f>
        <v/>
      </c>
      <c r="D24" s="78" t="n"/>
      <c r="E24" s="81" t="n"/>
      <c r="F24" s="76">
        <f>IF(B24="","",IFERROR(INDEX(Номенклатура!$K:$K,MATCH(B24,Номенклатура!$A:$A,0)),0))</f>
        <v/>
      </c>
      <c r="G24" s="81" t="n"/>
      <c r="H24" s="82" t="n"/>
      <c r="I24" s="76">
        <f>IF(OR(B24="",E24=""),"",E24-F24-G24)</f>
        <v/>
      </c>
      <c r="J24" s="80">
        <f>IF(I24="","",IF(I24&lt;0,"⚠ ЗБИТКОВИЙ — рішення власника","ОК"))</f>
        <v/>
      </c>
      <c r="K24" s="76">
        <f>IF(OR(I24="",I24&lt;0),"див. Статус",D24*(F24+H24*I24))</f>
        <v/>
      </c>
      <c r="L24" s="76">
        <f>IF(OR(I24="",I24&lt;0),"див. Статус",D24*I24*(1-H24))</f>
        <v/>
      </c>
      <c r="M24" s="78" t="n"/>
      <c r="N24" s="78" t="n"/>
      <c r="O24" s="78" t="n"/>
      <c r="S24" s="92">
        <f>IF(A24="","",LEFT(A24,7))</f>
        <v/>
      </c>
    </row>
    <row r="25" ht="15" customHeight="1" s="49">
      <c r="A25" s="78" t="n"/>
      <c r="B25" s="78" t="n"/>
      <c r="C25" s="80">
        <f>IF(B25="","",IFERROR(INDEX(Номенклатура!$B:$B,MATCH(B25,Номенклатура!$A:$A,0)),""))</f>
        <v/>
      </c>
      <c r="D25" s="78" t="n"/>
      <c r="E25" s="81" t="n"/>
      <c r="F25" s="76">
        <f>IF(B25="","",IFERROR(INDEX(Номенклатура!$K:$K,MATCH(B25,Номенклатура!$A:$A,0)),0))</f>
        <v/>
      </c>
      <c r="G25" s="81" t="n"/>
      <c r="H25" s="82" t="n"/>
      <c r="I25" s="76">
        <f>IF(OR(B25="",E25=""),"",E25-F25-G25)</f>
        <v/>
      </c>
      <c r="J25" s="80">
        <f>IF(I25="","",IF(I25&lt;0,"⚠ ЗБИТКОВИЙ — рішення власника","ОК"))</f>
        <v/>
      </c>
      <c r="K25" s="76">
        <f>IF(OR(I25="",I25&lt;0),"див. Статус",D25*(F25+H25*I25))</f>
        <v/>
      </c>
      <c r="L25" s="76">
        <f>IF(OR(I25="",I25&lt;0),"див. Статус",D25*I25*(1-H25))</f>
        <v/>
      </c>
      <c r="M25" s="78" t="n"/>
      <c r="N25" s="78" t="n"/>
      <c r="O25" s="78" t="n"/>
      <c r="S25" s="92">
        <f>IF(A25="","",LEFT(A25,7))</f>
        <v/>
      </c>
    </row>
    <row r="26" ht="15" customHeight="1" s="49">
      <c r="A26" s="78" t="n"/>
      <c r="B26" s="78" t="n"/>
      <c r="C26" s="80">
        <f>IF(B26="","",IFERROR(INDEX(Номенклатура!$B:$B,MATCH(B26,Номенклатура!$A:$A,0)),""))</f>
        <v/>
      </c>
      <c r="D26" s="78" t="n"/>
      <c r="E26" s="81" t="n"/>
      <c r="F26" s="76">
        <f>IF(B26="","",IFERROR(INDEX(Номенклатура!$K:$K,MATCH(B26,Номенклатура!$A:$A,0)),0))</f>
        <v/>
      </c>
      <c r="G26" s="81" t="n"/>
      <c r="H26" s="82" t="n"/>
      <c r="I26" s="76">
        <f>IF(OR(B26="",E26=""),"",E26-F26-G26)</f>
        <v/>
      </c>
      <c r="J26" s="80">
        <f>IF(I26="","",IF(I26&lt;0,"⚠ ЗБИТКОВИЙ — рішення власника","ОК"))</f>
        <v/>
      </c>
      <c r="K26" s="76">
        <f>IF(OR(I26="",I26&lt;0),"див. Статус",D26*(F26+H26*I26))</f>
        <v/>
      </c>
      <c r="L26" s="76">
        <f>IF(OR(I26="",I26&lt;0),"див. Статус",D26*I26*(1-H26))</f>
        <v/>
      </c>
      <c r="M26" s="78" t="n"/>
      <c r="N26" s="78" t="n"/>
      <c r="O26" s="78" t="n"/>
      <c r="S26" s="92">
        <f>IF(A26="","",LEFT(A26,7))</f>
        <v/>
      </c>
    </row>
    <row r="27" ht="15" customHeight="1" s="49">
      <c r="A27" s="78" t="n"/>
      <c r="B27" s="78" t="n"/>
      <c r="C27" s="80">
        <f>IF(B27="","",IFERROR(INDEX(Номенклатура!$B:$B,MATCH(B27,Номенклатура!$A:$A,0)),""))</f>
        <v/>
      </c>
      <c r="D27" s="78" t="n"/>
      <c r="E27" s="81" t="n"/>
      <c r="F27" s="76">
        <f>IF(B27="","",IFERROR(INDEX(Номенклатура!$K:$K,MATCH(B27,Номенклатура!$A:$A,0)),0))</f>
        <v/>
      </c>
      <c r="G27" s="81" t="n"/>
      <c r="H27" s="82" t="n"/>
      <c r="I27" s="76">
        <f>IF(OR(B27="",E27=""),"",E27-F27-G27)</f>
        <v/>
      </c>
      <c r="J27" s="80">
        <f>IF(I27="","",IF(I27&lt;0,"⚠ ЗБИТКОВИЙ — рішення власника","ОК"))</f>
        <v/>
      </c>
      <c r="K27" s="76">
        <f>IF(OR(I27="",I27&lt;0),"див. Статус",D27*(F27+H27*I27))</f>
        <v/>
      </c>
      <c r="L27" s="76">
        <f>IF(OR(I27="",I27&lt;0),"див. Статус",D27*I27*(1-H27))</f>
        <v/>
      </c>
      <c r="M27" s="78" t="n"/>
      <c r="N27" s="78" t="n"/>
      <c r="O27" s="78" t="n"/>
      <c r="S27" s="92">
        <f>IF(A27="","",LEFT(A27,7))</f>
        <v/>
      </c>
    </row>
    <row r="28" ht="15" customHeight="1" s="49">
      <c r="A28" s="78" t="n"/>
      <c r="B28" s="78" t="n"/>
      <c r="C28" s="80">
        <f>IF(B28="","",IFERROR(INDEX(Номенклатура!$B:$B,MATCH(B28,Номенклатура!$A:$A,0)),""))</f>
        <v/>
      </c>
      <c r="D28" s="78" t="n"/>
      <c r="E28" s="81" t="n"/>
      <c r="F28" s="76">
        <f>IF(B28="","",IFERROR(INDEX(Номенклатура!$K:$K,MATCH(B28,Номенклатура!$A:$A,0)),0))</f>
        <v/>
      </c>
      <c r="G28" s="81" t="n"/>
      <c r="H28" s="82" t="n"/>
      <c r="I28" s="76">
        <f>IF(OR(B28="",E28=""),"",E28-F28-G28)</f>
        <v/>
      </c>
      <c r="J28" s="80">
        <f>IF(I28="","",IF(I28&lt;0,"⚠ ЗБИТКОВИЙ — рішення власника","ОК"))</f>
        <v/>
      </c>
      <c r="K28" s="76">
        <f>IF(OR(I28="",I28&lt;0),"див. Статус",D28*(F28+H28*I28))</f>
        <v/>
      </c>
      <c r="L28" s="76">
        <f>IF(OR(I28="",I28&lt;0),"див. Статус",D28*I28*(1-H28))</f>
        <v/>
      </c>
      <c r="M28" s="78" t="n"/>
      <c r="N28" s="78" t="n"/>
      <c r="O28" s="78" t="n"/>
      <c r="S28" s="92">
        <f>IF(A28="","",LEFT(A28,7))</f>
        <v/>
      </c>
    </row>
    <row r="29" ht="15" customHeight="1" s="49">
      <c r="A29" s="78" t="n"/>
      <c r="B29" s="78" t="n"/>
      <c r="C29" s="80">
        <f>IF(B29="","",IFERROR(INDEX(Номенклатура!$B:$B,MATCH(B29,Номенклатура!$A:$A,0)),""))</f>
        <v/>
      </c>
      <c r="D29" s="78" t="n"/>
      <c r="E29" s="81" t="n"/>
      <c r="F29" s="76">
        <f>IF(B29="","",IFERROR(INDEX(Номенклатура!$K:$K,MATCH(B29,Номенклатура!$A:$A,0)),0))</f>
        <v/>
      </c>
      <c r="G29" s="81" t="n"/>
      <c r="H29" s="82" t="n"/>
      <c r="I29" s="76">
        <f>IF(OR(B29="",E29=""),"",E29-F29-G29)</f>
        <v/>
      </c>
      <c r="J29" s="80">
        <f>IF(I29="","",IF(I29&lt;0,"⚠ ЗБИТКОВИЙ — рішення власника","ОК"))</f>
        <v/>
      </c>
      <c r="K29" s="76">
        <f>IF(OR(I29="",I29&lt;0),"див. Статус",D29*(F29+H29*I29))</f>
        <v/>
      </c>
      <c r="L29" s="76">
        <f>IF(OR(I29="",I29&lt;0),"див. Статус",D29*I29*(1-H29))</f>
        <v/>
      </c>
      <c r="M29" s="78" t="n"/>
      <c r="N29" s="78" t="n"/>
      <c r="O29" s="78" t="n"/>
      <c r="S29" s="92">
        <f>IF(A29="","",LEFT(A29,7))</f>
        <v/>
      </c>
    </row>
    <row r="30" ht="15" customHeight="1" s="49">
      <c r="A30" s="78" t="n"/>
      <c r="B30" s="78" t="n"/>
      <c r="C30" s="80">
        <f>IF(B30="","",IFERROR(INDEX(Номенклатура!$B:$B,MATCH(B30,Номенклатура!$A:$A,0)),""))</f>
        <v/>
      </c>
      <c r="D30" s="78" t="n"/>
      <c r="E30" s="81" t="n"/>
      <c r="F30" s="76">
        <f>IF(B30="","",IFERROR(INDEX(Номенклатура!$K:$K,MATCH(B30,Номенклатура!$A:$A,0)),0))</f>
        <v/>
      </c>
      <c r="G30" s="81" t="n"/>
      <c r="H30" s="82" t="n"/>
      <c r="I30" s="76">
        <f>IF(OR(B30="",E30=""),"",E30-F30-G30)</f>
        <v/>
      </c>
      <c r="J30" s="80">
        <f>IF(I30="","",IF(I30&lt;0,"⚠ ЗБИТКОВИЙ — рішення власника","ОК"))</f>
        <v/>
      </c>
      <c r="K30" s="76">
        <f>IF(OR(I30="",I30&lt;0),"див. Статус",D30*(F30+H30*I30))</f>
        <v/>
      </c>
      <c r="L30" s="76">
        <f>IF(OR(I30="",I30&lt;0),"див. Статус",D30*I30*(1-H30))</f>
        <v/>
      </c>
      <c r="M30" s="78" t="n"/>
      <c r="N30" s="78" t="n"/>
      <c r="O30" s="78" t="n"/>
      <c r="S30" s="92">
        <f>IF(A30="","",LEFT(A30,7))</f>
        <v/>
      </c>
    </row>
    <row r="31" ht="15" customHeight="1" s="49">
      <c r="A31" s="78" t="n"/>
      <c r="B31" s="78" t="n"/>
      <c r="C31" s="80">
        <f>IF(B31="","",IFERROR(INDEX(Номенклатура!$B:$B,MATCH(B31,Номенклатура!$A:$A,0)),""))</f>
        <v/>
      </c>
      <c r="D31" s="78" t="n"/>
      <c r="E31" s="81" t="n"/>
      <c r="F31" s="76">
        <f>IF(B31="","",IFERROR(INDEX(Номенклатура!$K:$K,MATCH(B31,Номенклатура!$A:$A,0)),0))</f>
        <v/>
      </c>
      <c r="G31" s="81" t="n"/>
      <c r="H31" s="82" t="n"/>
      <c r="I31" s="76">
        <f>IF(OR(B31="",E31=""),"",E31-F31-G31)</f>
        <v/>
      </c>
      <c r="J31" s="80">
        <f>IF(I31="","",IF(I31&lt;0,"⚠ ЗБИТКОВИЙ — рішення власника","ОК"))</f>
        <v/>
      </c>
      <c r="K31" s="76">
        <f>IF(OR(I31="",I31&lt;0),"див. Статус",D31*(F31+H31*I31))</f>
        <v/>
      </c>
      <c r="L31" s="76">
        <f>IF(OR(I31="",I31&lt;0),"див. Статус",D31*I31*(1-H31))</f>
        <v/>
      </c>
      <c r="M31" s="78" t="n"/>
      <c r="N31" s="78" t="n"/>
      <c r="O31" s="78" t="n"/>
      <c r="S31" s="92">
        <f>IF(A31="","",LEFT(A31,7))</f>
        <v/>
      </c>
    </row>
    <row r="32" ht="15" customHeight="1" s="49">
      <c r="A32" s="78" t="n"/>
      <c r="B32" s="78" t="n"/>
      <c r="C32" s="80">
        <f>IF(B32="","",IFERROR(INDEX(Номенклатура!$B:$B,MATCH(B32,Номенклатура!$A:$A,0)),""))</f>
        <v/>
      </c>
      <c r="D32" s="78" t="n"/>
      <c r="E32" s="81" t="n"/>
      <c r="F32" s="76">
        <f>IF(B32="","",IFERROR(INDEX(Номенклатура!$K:$K,MATCH(B32,Номенклатура!$A:$A,0)),0))</f>
        <v/>
      </c>
      <c r="G32" s="81" t="n"/>
      <c r="H32" s="82" t="n"/>
      <c r="I32" s="76">
        <f>IF(OR(B32="",E32=""),"",E32-F32-G32)</f>
        <v/>
      </c>
      <c r="J32" s="80">
        <f>IF(I32="","",IF(I32&lt;0,"⚠ ЗБИТКОВИЙ — рішення власника","ОК"))</f>
        <v/>
      </c>
      <c r="K32" s="76">
        <f>IF(OR(I32="",I32&lt;0),"див. Статус",D32*(F32+H32*I32))</f>
        <v/>
      </c>
      <c r="L32" s="76">
        <f>IF(OR(I32="",I32&lt;0),"див. Статус",D32*I32*(1-H32))</f>
        <v/>
      </c>
      <c r="M32" s="78" t="n"/>
      <c r="N32" s="78" t="n"/>
      <c r="O32" s="78" t="n"/>
      <c r="S32" s="92">
        <f>IF(A32="","",LEFT(A32,7))</f>
        <v/>
      </c>
    </row>
    <row r="33" ht="15" customHeight="1" s="49">
      <c r="A33" s="78" t="n"/>
      <c r="B33" s="78" t="n"/>
      <c r="C33" s="80">
        <f>IF(B33="","",IFERROR(INDEX(Номенклатура!$B:$B,MATCH(B33,Номенклатура!$A:$A,0)),""))</f>
        <v/>
      </c>
      <c r="D33" s="78" t="n"/>
      <c r="E33" s="81" t="n"/>
      <c r="F33" s="76">
        <f>IF(B33="","",IFERROR(INDEX(Номенклатура!$K:$K,MATCH(B33,Номенклатура!$A:$A,0)),0))</f>
        <v/>
      </c>
      <c r="G33" s="81" t="n"/>
      <c r="H33" s="82" t="n"/>
      <c r="I33" s="76">
        <f>IF(OR(B33="",E33=""),"",E33-F33-G33)</f>
        <v/>
      </c>
      <c r="J33" s="80">
        <f>IF(I33="","",IF(I33&lt;0,"⚠ ЗБИТКОВИЙ — рішення власника","ОК"))</f>
        <v/>
      </c>
      <c r="K33" s="76">
        <f>IF(OR(I33="",I33&lt;0),"див. Статус",D33*(F33+H33*I33))</f>
        <v/>
      </c>
      <c r="L33" s="76">
        <f>IF(OR(I33="",I33&lt;0),"див. Статус",D33*I33*(1-H33))</f>
        <v/>
      </c>
      <c r="M33" s="78" t="n"/>
      <c r="N33" s="78" t="n"/>
      <c r="O33" s="78" t="n"/>
      <c r="S33" s="92">
        <f>IF(A33="","",LEFT(A33,7))</f>
        <v/>
      </c>
    </row>
    <row r="34" ht="15" customHeight="1" s="49">
      <c r="A34" s="78" t="n"/>
      <c r="B34" s="78" t="n"/>
      <c r="C34" s="80">
        <f>IF(B34="","",IFERROR(INDEX(Номенклатура!$B:$B,MATCH(B34,Номенклатура!$A:$A,0)),""))</f>
        <v/>
      </c>
      <c r="D34" s="78" t="n"/>
      <c r="E34" s="81" t="n"/>
      <c r="F34" s="76">
        <f>IF(B34="","",IFERROR(INDEX(Номенклатура!$K:$K,MATCH(B34,Номенклатура!$A:$A,0)),0))</f>
        <v/>
      </c>
      <c r="G34" s="81" t="n"/>
      <c r="H34" s="82" t="n"/>
      <c r="I34" s="76">
        <f>IF(OR(B34="",E34=""),"",E34-F34-G34)</f>
        <v/>
      </c>
      <c r="J34" s="80">
        <f>IF(I34="","",IF(I34&lt;0,"⚠ ЗБИТКОВИЙ — рішення власника","ОК"))</f>
        <v/>
      </c>
      <c r="K34" s="76">
        <f>IF(OR(I34="",I34&lt;0),"див. Статус",D34*(F34+H34*I34))</f>
        <v/>
      </c>
      <c r="L34" s="76">
        <f>IF(OR(I34="",I34&lt;0),"див. Статус",D34*I34*(1-H34))</f>
        <v/>
      </c>
      <c r="M34" s="78" t="n"/>
      <c r="N34" s="78" t="n"/>
      <c r="O34" s="78" t="n"/>
      <c r="S34" s="92">
        <f>IF(A34="","",LEFT(A34,7))</f>
        <v/>
      </c>
    </row>
    <row r="35" ht="15" customHeight="1" s="49">
      <c r="A35" s="78" t="n"/>
      <c r="B35" s="78" t="n"/>
      <c r="C35" s="80">
        <f>IF(B35="","",IFERROR(INDEX(Номенклатура!$B:$B,MATCH(B35,Номенклатура!$A:$A,0)),""))</f>
        <v/>
      </c>
      <c r="D35" s="78" t="n"/>
      <c r="E35" s="81" t="n"/>
      <c r="F35" s="76">
        <f>IF(B35="","",IFERROR(INDEX(Номенклатура!$K:$K,MATCH(B35,Номенклатура!$A:$A,0)),0))</f>
        <v/>
      </c>
      <c r="G35" s="81" t="n"/>
      <c r="H35" s="82" t="n"/>
      <c r="I35" s="76">
        <f>IF(OR(B35="",E35=""),"",E35-F35-G35)</f>
        <v/>
      </c>
      <c r="J35" s="80">
        <f>IF(I35="","",IF(I35&lt;0,"⚠ ЗБИТКОВИЙ — рішення власника","ОК"))</f>
        <v/>
      </c>
      <c r="K35" s="76">
        <f>IF(OR(I35="",I35&lt;0),"див. Статус",D35*(F35+H35*I35))</f>
        <v/>
      </c>
      <c r="L35" s="76">
        <f>IF(OR(I35="",I35&lt;0),"див. Статус",D35*I35*(1-H35))</f>
        <v/>
      </c>
      <c r="M35" s="78" t="n"/>
      <c r="N35" s="78" t="n"/>
      <c r="O35" s="78" t="n"/>
      <c r="S35" s="92">
        <f>IF(A35="","",LEFT(A35,7))</f>
        <v/>
      </c>
    </row>
    <row r="36" ht="15" customHeight="1" s="49">
      <c r="A36" s="78" t="n"/>
      <c r="B36" s="78" t="n"/>
      <c r="C36" s="80">
        <f>IF(B36="","",IFERROR(INDEX(Номенклатура!$B:$B,MATCH(B36,Номенклатура!$A:$A,0)),""))</f>
        <v/>
      </c>
      <c r="D36" s="78" t="n"/>
      <c r="E36" s="81" t="n"/>
      <c r="F36" s="76">
        <f>IF(B36="","",IFERROR(INDEX(Номенклатура!$K:$K,MATCH(B36,Номенклатура!$A:$A,0)),0))</f>
        <v/>
      </c>
      <c r="G36" s="81" t="n"/>
      <c r="H36" s="82" t="n"/>
      <c r="I36" s="76">
        <f>IF(OR(B36="",E36=""),"",E36-F36-G36)</f>
        <v/>
      </c>
      <c r="J36" s="80">
        <f>IF(I36="","",IF(I36&lt;0,"⚠ ЗБИТКОВИЙ — рішення власника","ОК"))</f>
        <v/>
      </c>
      <c r="K36" s="76">
        <f>IF(OR(I36="",I36&lt;0),"див. Статус",D36*(F36+H36*I36))</f>
        <v/>
      </c>
      <c r="L36" s="76">
        <f>IF(OR(I36="",I36&lt;0),"див. Статус",D36*I36*(1-H36))</f>
        <v/>
      </c>
      <c r="M36" s="78" t="n"/>
      <c r="N36" s="78" t="n"/>
      <c r="O36" s="78" t="n"/>
      <c r="S36" s="92">
        <f>IF(A36="","",LEFT(A36,7))</f>
        <v/>
      </c>
    </row>
    <row r="37" ht="15" customHeight="1" s="49">
      <c r="A37" s="78" t="n"/>
      <c r="B37" s="78" t="n"/>
      <c r="C37" s="80">
        <f>IF(B37="","",IFERROR(INDEX(Номенклатура!$B:$B,MATCH(B37,Номенклатура!$A:$A,0)),""))</f>
        <v/>
      </c>
      <c r="D37" s="78" t="n"/>
      <c r="E37" s="81" t="n"/>
      <c r="F37" s="76">
        <f>IF(B37="","",IFERROR(INDEX(Номенклатура!$K:$K,MATCH(B37,Номенклатура!$A:$A,0)),0))</f>
        <v/>
      </c>
      <c r="G37" s="81" t="n"/>
      <c r="H37" s="82" t="n"/>
      <c r="I37" s="76">
        <f>IF(OR(B37="",E37=""),"",E37-F37-G37)</f>
        <v/>
      </c>
      <c r="J37" s="80">
        <f>IF(I37="","",IF(I37&lt;0,"⚠ ЗБИТКОВИЙ — рішення власника","ОК"))</f>
        <v/>
      </c>
      <c r="K37" s="76">
        <f>IF(OR(I37="",I37&lt;0),"див. Статус",D37*(F37+H37*I37))</f>
        <v/>
      </c>
      <c r="L37" s="76">
        <f>IF(OR(I37="",I37&lt;0),"див. Статус",D37*I37*(1-H37))</f>
        <v/>
      </c>
      <c r="M37" s="78" t="n"/>
      <c r="N37" s="78" t="n"/>
      <c r="O37" s="78" t="n"/>
      <c r="S37" s="92">
        <f>IF(A37="","",LEFT(A37,7))</f>
        <v/>
      </c>
    </row>
    <row r="38" ht="15" customHeight="1" s="49">
      <c r="A38" s="78" t="n"/>
      <c r="B38" s="78" t="n"/>
      <c r="C38" s="80">
        <f>IF(B38="","",IFERROR(INDEX(Номенклатура!$B:$B,MATCH(B38,Номенклатура!$A:$A,0)),""))</f>
        <v/>
      </c>
      <c r="D38" s="78" t="n"/>
      <c r="E38" s="81" t="n"/>
      <c r="F38" s="76">
        <f>IF(B38="","",IFERROR(INDEX(Номенклатура!$K:$K,MATCH(B38,Номенклатура!$A:$A,0)),0))</f>
        <v/>
      </c>
      <c r="G38" s="81" t="n"/>
      <c r="H38" s="82" t="n"/>
      <c r="I38" s="76">
        <f>IF(OR(B38="",E38=""),"",E38-F38-G38)</f>
        <v/>
      </c>
      <c r="J38" s="80">
        <f>IF(I38="","",IF(I38&lt;0,"⚠ ЗБИТКОВИЙ — рішення власника","ОК"))</f>
        <v/>
      </c>
      <c r="K38" s="76">
        <f>IF(OR(I38="",I38&lt;0),"див. Статус",D38*(F38+H38*I38))</f>
        <v/>
      </c>
      <c r="L38" s="76">
        <f>IF(OR(I38="",I38&lt;0),"див. Статус",D38*I38*(1-H38))</f>
        <v/>
      </c>
      <c r="M38" s="78" t="n"/>
      <c r="N38" s="78" t="n"/>
      <c r="O38" s="78" t="n"/>
      <c r="S38" s="92">
        <f>IF(A38="","",LEFT(A38,7))</f>
        <v/>
      </c>
    </row>
    <row r="39" ht="15" customHeight="1" s="49">
      <c r="A39" s="78" t="n"/>
      <c r="B39" s="78" t="n"/>
      <c r="C39" s="80">
        <f>IF(B39="","",IFERROR(INDEX(Номенклатура!$B:$B,MATCH(B39,Номенклатура!$A:$A,0)),""))</f>
        <v/>
      </c>
      <c r="D39" s="78" t="n"/>
      <c r="E39" s="81" t="n"/>
      <c r="F39" s="76">
        <f>IF(B39="","",IFERROR(INDEX(Номенклатура!$K:$K,MATCH(B39,Номенклатура!$A:$A,0)),0))</f>
        <v/>
      </c>
      <c r="G39" s="81" t="n"/>
      <c r="H39" s="82" t="n"/>
      <c r="I39" s="76">
        <f>IF(OR(B39="",E39=""),"",E39-F39-G39)</f>
        <v/>
      </c>
      <c r="J39" s="80">
        <f>IF(I39="","",IF(I39&lt;0,"⚠ ЗБИТКОВИЙ — рішення власника","ОК"))</f>
        <v/>
      </c>
      <c r="K39" s="76">
        <f>IF(OR(I39="",I39&lt;0),"див. Статус",D39*(F39+H39*I39))</f>
        <v/>
      </c>
      <c r="L39" s="76">
        <f>IF(OR(I39="",I39&lt;0),"див. Статус",D39*I39*(1-H39))</f>
        <v/>
      </c>
      <c r="M39" s="78" t="n"/>
      <c r="N39" s="78" t="n"/>
      <c r="O39" s="78" t="n"/>
      <c r="S39" s="92">
        <f>IF(A39="","",LEFT(A39,7))</f>
        <v/>
      </c>
    </row>
  </sheetData>
  <dataValidations count="1">
    <dataValidation sqref="M2:M200" showDropDown="0" showInputMessage="0" showErrorMessage="0" allowBlank="1" type="list" errorStyle="stop" operator="between">
      <formula1>"Сайт,Директ,Instagram,Telegram,OLX"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49" min="1" max="1"/>
    <col width="26" customWidth="1" style="49" min="2" max="2"/>
    <col width="20" customWidth="1" style="49" min="3" max="3"/>
    <col width="20" customWidth="1" style="49" min="4" max="4"/>
    <col width="16" customWidth="1" style="49" min="5" max="5"/>
    <col width="30" customWidth="1" style="49" min="6" max="6"/>
  </cols>
  <sheetData>
    <row r="1">
      <c r="A1" s="93" t="inlineStr">
        <is>
          <t>Період (РРРР-ММ)</t>
        </is>
      </c>
      <c r="B1" s="93" t="inlineStr">
        <is>
          <t>Нараховано Сергію за період, грн</t>
        </is>
      </c>
      <c r="C1" s="93" t="inlineStr">
        <is>
          <t>Термін перевірки Сергієм</t>
        </is>
      </c>
      <c r="D1" s="93" t="inlineStr">
        <is>
          <t>Дата фактичної виплати</t>
        </is>
      </c>
      <c r="E1" s="93" t="inlineStr">
        <is>
          <t>Статус</t>
        </is>
      </c>
      <c r="F1" s="93" t="inlineStr">
        <is>
          <t>Примітки</t>
        </is>
      </c>
    </row>
    <row r="2">
      <c r="A2" s="94" t="inlineStr">
        <is>
          <t>2026-07</t>
        </is>
      </c>
      <c r="B2" s="94">
        <f>IF(A2="","",SUMIFS(Продажі!$K:$K,Продажі!$S:$S,A2))</f>
        <v/>
      </c>
      <c r="C2" s="94">
        <f>IF(A2="","",TEXT(EOMONTH(DATEVALUE(A2&amp;"-01"),0)+2,"YYYY-MM-DD"))</f>
        <v/>
      </c>
      <c r="D2" s="94" t="inlineStr">
        <is>
          <t>2026-08-02</t>
        </is>
      </c>
      <c r="E2" s="94" t="inlineStr">
        <is>
          <t>ПРИКЛАД — видалити</t>
        </is>
      </c>
      <c r="F2" s="94" t="inlineStr">
        <is>
          <t>приклад — видалити; сума в B тягнеться з реального прикладу-рядка в «Продажі», не рішення власника</t>
        </is>
      </c>
    </row>
    <row r="3">
      <c r="A3" s="95" t="n"/>
      <c r="B3" s="92">
        <f>IF(A3="","",SUMIFS(Продажі!$K:$K,Продажі!$S:$S,A3))</f>
        <v/>
      </c>
      <c r="C3" s="92">
        <f>IF(A3="","",TEXT(EOMONTH(DATEVALUE(A3&amp;"-01"),0)+2,"YYYY-MM-DD"))</f>
        <v/>
      </c>
      <c r="D3" s="95" t="n"/>
      <c r="E3" s="95" t="n"/>
      <c r="F3" s="95" t="n"/>
    </row>
    <row r="4">
      <c r="A4" s="95" t="n"/>
      <c r="B4" s="92">
        <f>IF(A4="","",SUMIFS(Продажі!$K:$K,Продажі!$S:$S,A4))</f>
        <v/>
      </c>
      <c r="C4" s="92">
        <f>IF(A4="","",TEXT(EOMONTH(DATEVALUE(A4&amp;"-01"),0)+2,"YYYY-MM-DD"))</f>
        <v/>
      </c>
      <c r="D4" s="95" t="n"/>
      <c r="E4" s="95" t="n"/>
      <c r="F4" s="95" t="n"/>
    </row>
    <row r="5">
      <c r="A5" s="95" t="n"/>
      <c r="B5" s="92">
        <f>IF(A5="","",SUMIFS(Продажі!$K:$K,Продажі!$S:$S,A5))</f>
        <v/>
      </c>
      <c r="C5" s="92">
        <f>IF(A5="","",TEXT(EOMONTH(DATEVALUE(A5&amp;"-01"),0)+2,"YYYY-MM-DD"))</f>
        <v/>
      </c>
      <c r="D5" s="95" t="n"/>
      <c r="E5" s="95" t="n"/>
      <c r="F5" s="95" t="n"/>
    </row>
    <row r="6">
      <c r="A6" s="95" t="n"/>
      <c r="B6" s="92">
        <f>IF(A6="","",SUMIFS(Продажі!$K:$K,Продажі!$S:$S,A6))</f>
        <v/>
      </c>
      <c r="C6" s="92">
        <f>IF(A6="","",TEXT(EOMONTH(DATEVALUE(A6&amp;"-01"),0)+2,"YYYY-MM-DD"))</f>
        <v/>
      </c>
      <c r="D6" s="95" t="n"/>
      <c r="E6" s="95" t="n"/>
      <c r="F6" s="95" t="n"/>
    </row>
    <row r="7">
      <c r="A7" s="95" t="n"/>
      <c r="B7" s="92">
        <f>IF(A7="","",SUMIFS(Продажі!$K:$K,Продажі!$S:$S,A7))</f>
        <v/>
      </c>
      <c r="C7" s="92">
        <f>IF(A7="","",TEXT(EOMONTH(DATEVALUE(A7&amp;"-01"),0)+2,"YYYY-MM-DD"))</f>
        <v/>
      </c>
      <c r="D7" s="95" t="n"/>
      <c r="E7" s="95" t="n"/>
      <c r="F7" s="95" t="n"/>
    </row>
    <row r="8">
      <c r="A8" s="95" t="n"/>
      <c r="B8" s="92">
        <f>IF(A8="","",SUMIFS(Продажі!$K:$K,Продажі!$S:$S,A8))</f>
        <v/>
      </c>
      <c r="C8" s="92">
        <f>IF(A8="","",TEXT(EOMONTH(DATEVALUE(A8&amp;"-01"),0)+2,"YYYY-MM-DD"))</f>
        <v/>
      </c>
      <c r="D8" s="95" t="n"/>
      <c r="E8" s="95" t="n"/>
      <c r="F8" s="95" t="n"/>
    </row>
    <row r="9">
      <c r="A9" s="95" t="n"/>
      <c r="B9" s="92">
        <f>IF(A9="","",SUMIFS(Продажі!$K:$K,Продажі!$S:$S,A9))</f>
        <v/>
      </c>
      <c r="C9" s="92">
        <f>IF(A9="","",TEXT(EOMONTH(DATEVALUE(A9&amp;"-01"),0)+2,"YYYY-MM-DD"))</f>
        <v/>
      </c>
      <c r="D9" s="95" t="n"/>
      <c r="E9" s="95" t="n"/>
      <c r="F9" s="95" t="n"/>
    </row>
    <row r="10">
      <c r="A10" s="95" t="n"/>
      <c r="B10" s="92">
        <f>IF(A10="","",SUMIFS(Продажі!$K:$K,Продажі!$S:$S,A10))</f>
        <v/>
      </c>
      <c r="C10" s="92">
        <f>IF(A10="","",TEXT(EOMONTH(DATEVALUE(A10&amp;"-01"),0)+2,"YYYY-MM-DD"))</f>
        <v/>
      </c>
      <c r="D10" s="95" t="n"/>
      <c r="E10" s="95" t="n"/>
      <c r="F10" s="95" t="n"/>
    </row>
    <row r="11">
      <c r="A11" s="95" t="n"/>
      <c r="B11" s="92">
        <f>IF(A11="","",SUMIFS(Продажі!$K:$K,Продажі!$S:$S,A11))</f>
        <v/>
      </c>
      <c r="C11" s="92">
        <f>IF(A11="","",TEXT(EOMONTH(DATEVALUE(A11&amp;"-01"),0)+2,"YYYY-MM-DD"))</f>
        <v/>
      </c>
      <c r="D11" s="95" t="n"/>
      <c r="E11" s="95" t="n"/>
      <c r="F11" s="95" t="n"/>
    </row>
    <row r="12">
      <c r="A12" s="95" t="n"/>
      <c r="B12" s="92">
        <f>IF(A12="","",SUMIFS(Продажі!$K:$K,Продажі!$S:$S,A12))</f>
        <v/>
      </c>
      <c r="C12" s="92">
        <f>IF(A12="","",TEXT(EOMONTH(DATEVALUE(A12&amp;"-01"),0)+2,"YYYY-MM-DD"))</f>
        <v/>
      </c>
      <c r="D12" s="95" t="n"/>
      <c r="E12" s="95" t="n"/>
      <c r="F12" s="95" t="n"/>
    </row>
    <row r="13">
      <c r="A13" s="95" t="n"/>
      <c r="B13" s="92">
        <f>IF(A13="","",SUMIFS(Продажі!$K:$K,Продажі!$S:$S,A13))</f>
        <v/>
      </c>
      <c r="C13" s="92">
        <f>IF(A13="","",TEXT(EOMONTH(DATEVALUE(A13&amp;"-01"),0)+2,"YYYY-MM-DD"))</f>
        <v/>
      </c>
      <c r="D13" s="95" t="n"/>
      <c r="E13" s="95" t="n"/>
      <c r="F13" s="95" t="n"/>
    </row>
    <row r="14">
      <c r="A14" s="95" t="n"/>
      <c r="B14" s="92">
        <f>IF(A14="","",SUMIFS(Продажі!$K:$K,Продажі!$S:$S,A14))</f>
        <v/>
      </c>
      <c r="C14" s="92">
        <f>IF(A14="","",TEXT(EOMONTH(DATEVALUE(A14&amp;"-01"),0)+2,"YYYY-MM-DD"))</f>
        <v/>
      </c>
      <c r="D14" s="95" t="n"/>
      <c r="E14" s="95" t="n"/>
      <c r="F14" s="95" t="n"/>
    </row>
    <row r="15">
      <c r="A15" s="95" t="n"/>
      <c r="B15" s="92">
        <f>IF(A15="","",SUMIFS(Продажі!$K:$K,Продажі!$S:$S,A15))</f>
        <v/>
      </c>
      <c r="C15" s="92">
        <f>IF(A15="","",TEXT(EOMONTH(DATEVALUE(A15&amp;"-01"),0)+2,"YYYY-MM-DD"))</f>
        <v/>
      </c>
      <c r="D15" s="95" t="n"/>
      <c r="E15" s="95" t="n"/>
      <c r="F15" s="95" t="n"/>
    </row>
    <row r="16">
      <c r="A16" s="95" t="n"/>
      <c r="B16" s="92">
        <f>IF(A16="","",SUMIFS(Продажі!$K:$K,Продажі!$S:$S,A16))</f>
        <v/>
      </c>
      <c r="C16" s="92">
        <f>IF(A16="","",TEXT(EOMONTH(DATEVALUE(A16&amp;"-01"),0)+2,"YYYY-MM-DD"))</f>
        <v/>
      </c>
      <c r="D16" s="95" t="n"/>
      <c r="E16" s="95" t="n"/>
      <c r="F16" s="95" t="n"/>
    </row>
    <row r="17">
      <c r="A17" s="95" t="n"/>
      <c r="B17" s="92">
        <f>IF(A17="","",SUMIFS(Продажі!$K:$K,Продажі!$S:$S,A17))</f>
        <v/>
      </c>
      <c r="C17" s="92">
        <f>IF(A17="","",TEXT(EOMONTH(DATEVALUE(A17&amp;"-01"),0)+2,"YYYY-MM-DD"))</f>
        <v/>
      </c>
      <c r="D17" s="95" t="n"/>
      <c r="E17" s="95" t="n"/>
      <c r="F17" s="95" t="n"/>
    </row>
    <row r="18">
      <c r="A18" s="95" t="n"/>
      <c r="B18" s="92">
        <f>IF(A18="","",SUMIFS(Продажі!$K:$K,Продажі!$S:$S,A18))</f>
        <v/>
      </c>
      <c r="C18" s="92">
        <f>IF(A18="","",TEXT(EOMONTH(DATEVALUE(A18&amp;"-01"),0)+2,"YYYY-MM-DD"))</f>
        <v/>
      </c>
      <c r="D18" s="95" t="n"/>
      <c r="E18" s="95" t="n"/>
      <c r="F18" s="95" t="n"/>
    </row>
    <row r="19">
      <c r="A19" s="95" t="n"/>
      <c r="B19" s="92">
        <f>IF(A19="","",SUMIFS(Продажі!$K:$K,Продажі!$S:$S,A19))</f>
        <v/>
      </c>
      <c r="C19" s="92">
        <f>IF(A19="","",TEXT(EOMONTH(DATEVALUE(A19&amp;"-01"),0)+2,"YYYY-MM-DD"))</f>
        <v/>
      </c>
      <c r="D19" s="95" t="n"/>
      <c r="E19" s="95" t="n"/>
      <c r="F19" s="95" t="n"/>
    </row>
    <row r="20">
      <c r="A20" s="95" t="n"/>
      <c r="B20" s="92">
        <f>IF(A20="","",SUMIFS(Продажі!$K:$K,Продажі!$S:$S,A20))</f>
        <v/>
      </c>
      <c r="C20" s="92">
        <f>IF(A20="","",TEXT(EOMONTH(DATEVALUE(A20&amp;"-01"),0)+2,"YYYY-MM-DD"))</f>
        <v/>
      </c>
      <c r="D20" s="95" t="n"/>
      <c r="E20" s="95" t="n"/>
      <c r="F20" s="95" t="n"/>
    </row>
    <row r="21">
      <c r="A21" s="95" t="n"/>
      <c r="B21" s="92">
        <f>IF(A21="","",SUMIFS(Продажі!$K:$K,Продажі!$S:$S,A21))</f>
        <v/>
      </c>
      <c r="C21" s="92">
        <f>IF(A21="","",TEXT(EOMONTH(DATEVALUE(A21&amp;"-01"),0)+2,"YYYY-MM-DD"))</f>
        <v/>
      </c>
      <c r="D21" s="95" t="n"/>
      <c r="E21" s="95" t="n"/>
      <c r="F21" s="95" t="n"/>
    </row>
    <row r="22">
      <c r="A22" s="95" t="n"/>
      <c r="B22" s="92">
        <f>IF(A22="","",SUMIFS(Продажі!$K:$K,Продажі!$S:$S,A22))</f>
        <v/>
      </c>
      <c r="C22" s="92">
        <f>IF(A22="","",TEXT(EOMONTH(DATEVALUE(A22&amp;"-01"),0)+2,"YYYY-MM-DD"))</f>
        <v/>
      </c>
      <c r="D22" s="95" t="n"/>
      <c r="E22" s="95" t="n"/>
      <c r="F22" s="95" t="n"/>
    </row>
    <row r="23">
      <c r="A23" s="95" t="n"/>
      <c r="B23" s="92">
        <f>IF(A23="","",SUMIFS(Продажі!$K:$K,Продажі!$S:$S,A23))</f>
        <v/>
      </c>
      <c r="C23" s="92">
        <f>IF(A23="","",TEXT(EOMONTH(DATEVALUE(A23&amp;"-01"),0)+2,"YYYY-MM-DD"))</f>
        <v/>
      </c>
      <c r="D23" s="95" t="n"/>
      <c r="E23" s="95" t="n"/>
      <c r="F23" s="95" t="n"/>
    </row>
    <row r="24">
      <c r="A24" s="95" t="n"/>
      <c r="B24" s="92">
        <f>IF(A24="","",SUMIFS(Продажі!$K:$K,Продажі!$S:$S,A24))</f>
        <v/>
      </c>
      <c r="C24" s="92">
        <f>IF(A24="","",TEXT(EOMONTH(DATEVALUE(A24&amp;"-01"),0)+2,"YYYY-MM-DD"))</f>
        <v/>
      </c>
      <c r="D24" s="95" t="n"/>
      <c r="E24" s="95" t="n"/>
      <c r="F24" s="95" t="n"/>
    </row>
    <row r="25">
      <c r="A25" s="95" t="n"/>
      <c r="B25" s="92">
        <f>IF(A25="","",SUMIFS(Продажі!$K:$K,Продажі!$S:$S,A25))</f>
        <v/>
      </c>
      <c r="C25" s="92">
        <f>IF(A25="","",TEXT(EOMONTH(DATEVALUE(A25&amp;"-01"),0)+2,"YYYY-MM-DD"))</f>
        <v/>
      </c>
      <c r="D25" s="95" t="n"/>
      <c r="E25" s="95" t="n"/>
      <c r="F25" s="95" t="n"/>
    </row>
    <row r="26">
      <c r="A26" s="95" t="n"/>
      <c r="B26" s="92">
        <f>IF(A26="","",SUMIFS(Продажі!$K:$K,Продажі!$S:$S,A26))</f>
        <v/>
      </c>
      <c r="C26" s="92">
        <f>IF(A26="","",TEXT(EOMONTH(DATEVALUE(A26&amp;"-01"),0)+2,"YYYY-MM-DD"))</f>
        <v/>
      </c>
      <c r="D26" s="95" t="n"/>
      <c r="E26" s="95" t="n"/>
      <c r="F26" s="95" t="n"/>
    </row>
    <row r="27">
      <c r="A27" s="95" t="n"/>
      <c r="B27" s="92">
        <f>IF(A27="","",SUMIFS(Продажі!$K:$K,Продажі!$S:$S,A27))</f>
        <v/>
      </c>
      <c r="C27" s="92">
        <f>IF(A27="","",TEXT(EOMONTH(DATEVALUE(A27&amp;"-01"),0)+2,"YYYY-MM-DD"))</f>
        <v/>
      </c>
      <c r="D27" s="95" t="n"/>
      <c r="E27" s="95" t="n"/>
      <c r="F27" s="95" t="n"/>
    </row>
    <row r="28">
      <c r="A28" s="95" t="n"/>
      <c r="B28" s="92">
        <f>IF(A28="","",SUMIFS(Продажі!$K:$K,Продажі!$S:$S,A28))</f>
        <v/>
      </c>
      <c r="C28" s="92">
        <f>IF(A28="","",TEXT(EOMONTH(DATEVALUE(A28&amp;"-01"),0)+2,"YYYY-MM-DD"))</f>
        <v/>
      </c>
      <c r="D28" s="95" t="n"/>
      <c r="E28" s="95" t="n"/>
      <c r="F28" s="95" t="n"/>
    </row>
    <row r="29">
      <c r="A29" s="95" t="n"/>
      <c r="B29" s="92">
        <f>IF(A29="","",SUMIFS(Продажі!$K:$K,Продажі!$S:$S,A29))</f>
        <v/>
      </c>
      <c r="C29" s="92">
        <f>IF(A29="","",TEXT(EOMONTH(DATEVALUE(A29&amp;"-01"),0)+2,"YYYY-MM-DD"))</f>
        <v/>
      </c>
      <c r="D29" s="95" t="n"/>
      <c r="E29" s="95" t="n"/>
      <c r="F29" s="95" t="n"/>
    </row>
    <row r="30">
      <c r="A30" s="95" t="n"/>
      <c r="B30" s="92">
        <f>IF(A30="","",SUMIFS(Продажі!$K:$K,Продажі!$S:$S,A30))</f>
        <v/>
      </c>
      <c r="C30" s="92">
        <f>IF(A30="","",TEXT(EOMONTH(DATEVALUE(A30&amp;"-01"),0)+2,"YYYY-MM-DD"))</f>
        <v/>
      </c>
      <c r="D30" s="95" t="n"/>
      <c r="E30" s="95" t="n"/>
      <c r="F30" s="9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K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48" min="1" max="1"/>
    <col width="14" customWidth="1" style="48" min="2" max="2"/>
    <col width="18" customWidth="1" style="48" min="3" max="3"/>
    <col width="20" customWidth="1" style="48" min="4" max="4"/>
    <col width="16" customWidth="1" style="48" min="5" max="7"/>
    <col width="40" customWidth="1" style="48" min="8" max="8"/>
  </cols>
  <sheetData>
    <row r="1" ht="23.25" customHeight="1" s="49">
      <c r="A1" s="61" t="inlineStr">
        <is>
          <t>Дата</t>
        </is>
      </c>
      <c r="B1" s="61" t="inlineStr">
        <is>
          <t>SKU</t>
        </is>
      </c>
      <c r="C1" s="61" t="inlineStr">
        <is>
          <t>Закуплено в Друга, шт</t>
        </is>
      </c>
      <c r="D1" s="61" t="inlineStr">
        <is>
          <t>Ціна закупівлі за од., грн</t>
        </is>
      </c>
      <c r="E1" s="61" t="inlineStr">
        <is>
          <t>Сума закупівлі, грн</t>
        </is>
      </c>
      <c r="F1" s="61" t="inlineStr">
        <is>
          <t>Видано як бонус, шт</t>
        </is>
      </c>
      <c r="G1" s="61" t="inlineStr">
        <is>
          <t>До замовлення №</t>
        </is>
      </c>
      <c r="H1" s="61" t="inlineStr">
        <is>
          <t>Примітки</t>
        </is>
      </c>
      <c r="I1" s="61" t="inlineStr">
        <is>
          <t>Фурнітура за од. (ланцюжок/карабін), грн</t>
        </is>
      </c>
      <c r="J1" s="61" t="inlineStr">
        <is>
          <t>Собівартість за од. — Сергій+фурнітура, грн</t>
        </is>
      </c>
      <c r="K1" s="61" t="inlineStr">
        <is>
          <t>Собівартість партії, грн</t>
        </is>
      </c>
    </row>
    <row r="2" ht="15" customHeight="1" s="49">
      <c r="A2" s="83" t="inlineStr">
        <is>
          <t>Поріг замовлення для безкоштовної плюшки:</t>
        </is>
      </c>
      <c r="E2" s="84" t="n"/>
      <c r="F2" s="51" t="inlineStr">
        <is>
          <t>← ввести суму, рішення власника (задача 3D-P-004)</t>
        </is>
      </c>
    </row>
    <row r="3" ht="15" customHeight="1" s="49">
      <c r="A3" s="63" t="inlineStr">
        <is>
          <t>2026-07-26</t>
        </is>
      </c>
      <c r="B3" s="63" t="inlineStr">
        <is>
          <t>ПРИКЛАД-001</t>
        </is>
      </c>
      <c r="C3" s="63" t="n">
        <v>3</v>
      </c>
      <c r="D3" s="63" t="n">
        <v>60</v>
      </c>
      <c r="E3" s="65">
        <f>C3*D3</f>
        <v/>
      </c>
      <c r="F3" s="63" t="n">
        <v>1</v>
      </c>
      <c r="G3" s="63" t="inlineStr">
        <is>
          <t>—</t>
        </is>
      </c>
      <c r="H3" s="63" t="inlineStr">
        <is>
          <t>приклад — видалити</t>
        </is>
      </c>
      <c r="I3" s="48" t="n">
        <v>5</v>
      </c>
      <c r="J3" s="96">
        <f>D3+I3</f>
        <v/>
      </c>
      <c r="K3" s="96">
        <f>C3*J3</f>
        <v/>
      </c>
    </row>
    <row r="4" ht="15" customHeight="1" s="49">
      <c r="A4" s="78" t="n"/>
      <c r="B4" s="78" t="n"/>
      <c r="C4" s="78" t="n"/>
      <c r="D4" s="81" t="n"/>
      <c r="E4" s="76">
        <f>IF(C4="","",C4*D4)</f>
        <v/>
      </c>
      <c r="F4" s="78" t="n"/>
      <c r="G4" s="78" t="n"/>
      <c r="H4" s="78" t="n"/>
      <c r="J4" s="96">
        <f>IF(C4="","",D4+I4)</f>
        <v/>
      </c>
      <c r="K4" s="96">
        <f>IF(C4="","",C4*J4)</f>
        <v/>
      </c>
    </row>
    <row r="5" ht="15" customHeight="1" s="49">
      <c r="A5" s="78" t="n"/>
      <c r="B5" s="78" t="n"/>
      <c r="C5" s="78" t="n"/>
      <c r="D5" s="81" t="n"/>
      <c r="E5" s="76">
        <f>IF(C5="","",C5*D5)</f>
        <v/>
      </c>
      <c r="F5" s="78" t="n"/>
      <c r="G5" s="78" t="n"/>
      <c r="H5" s="78" t="n"/>
      <c r="J5" s="96">
        <f>IF(C5="","",D5+I5)</f>
        <v/>
      </c>
      <c r="K5" s="96">
        <f>IF(C5="","",C5*J5)</f>
        <v/>
      </c>
    </row>
    <row r="6" ht="15" customHeight="1" s="49">
      <c r="A6" s="78" t="n"/>
      <c r="B6" s="78" t="n"/>
      <c r="C6" s="78" t="n"/>
      <c r="D6" s="81" t="n"/>
      <c r="E6" s="76">
        <f>IF(C6="","",C6*D6)</f>
        <v/>
      </c>
      <c r="F6" s="78" t="n"/>
      <c r="G6" s="78" t="n"/>
      <c r="H6" s="78" t="n"/>
      <c r="J6" s="96">
        <f>IF(C6="","",D6+I6)</f>
        <v/>
      </c>
      <c r="K6" s="96">
        <f>IF(C6="","",C6*J6)</f>
        <v/>
      </c>
    </row>
    <row r="7" ht="15" customHeight="1" s="49">
      <c r="A7" s="78" t="n"/>
      <c r="B7" s="78" t="n"/>
      <c r="C7" s="78" t="n"/>
      <c r="D7" s="81" t="n"/>
      <c r="E7" s="76">
        <f>IF(C7="","",C7*D7)</f>
        <v/>
      </c>
      <c r="F7" s="78" t="n"/>
      <c r="G7" s="78" t="n"/>
      <c r="H7" s="78" t="n"/>
      <c r="J7" s="96">
        <f>IF(C7="","",D7+I7)</f>
        <v/>
      </c>
      <c r="K7" s="96">
        <f>IF(C7="","",C7*J7)</f>
        <v/>
      </c>
    </row>
    <row r="8" ht="15" customHeight="1" s="49">
      <c r="A8" s="78" t="n"/>
      <c r="B8" s="78" t="n"/>
      <c r="C8" s="78" t="n"/>
      <c r="D8" s="81" t="n"/>
      <c r="E8" s="76">
        <f>IF(C8="","",C8*D8)</f>
        <v/>
      </c>
      <c r="F8" s="78" t="n"/>
      <c r="G8" s="78" t="n"/>
      <c r="H8" s="78" t="n"/>
      <c r="J8" s="96">
        <f>IF(C8="","",D8+I8)</f>
        <v/>
      </c>
      <c r="K8" s="96">
        <f>IF(C8="","",C8*J8)</f>
        <v/>
      </c>
    </row>
    <row r="9" ht="15" customHeight="1" s="49">
      <c r="A9" s="78" t="n"/>
      <c r="B9" s="78" t="n"/>
      <c r="C9" s="78" t="n"/>
      <c r="D9" s="81" t="n"/>
      <c r="E9" s="76">
        <f>IF(C9="","",C9*D9)</f>
        <v/>
      </c>
      <c r="F9" s="78" t="n"/>
      <c r="G9" s="78" t="n"/>
      <c r="H9" s="78" t="n"/>
      <c r="J9" s="96">
        <f>IF(C9="","",D9+I9)</f>
        <v/>
      </c>
      <c r="K9" s="96">
        <f>IF(C9="","",C9*J9)</f>
        <v/>
      </c>
    </row>
    <row r="10" ht="15" customHeight="1" s="49">
      <c r="A10" s="78" t="n"/>
      <c r="B10" s="78" t="n"/>
      <c r="C10" s="78" t="n"/>
      <c r="D10" s="81" t="n"/>
      <c r="E10" s="76">
        <f>IF(C10="","",C10*D10)</f>
        <v/>
      </c>
      <c r="F10" s="78" t="n"/>
      <c r="G10" s="78" t="n"/>
      <c r="H10" s="78" t="n"/>
      <c r="J10" s="96">
        <f>IF(C10="","",D10+I10)</f>
        <v/>
      </c>
      <c r="K10" s="96">
        <f>IF(C10="","",C10*J10)</f>
        <v/>
      </c>
    </row>
    <row r="11" ht="15" customHeight="1" s="49">
      <c r="A11" s="78" t="n"/>
      <c r="B11" s="78" t="n"/>
      <c r="C11" s="78" t="n"/>
      <c r="D11" s="81" t="n"/>
      <c r="E11" s="76">
        <f>IF(C11="","",C11*D11)</f>
        <v/>
      </c>
      <c r="F11" s="78" t="n"/>
      <c r="G11" s="78" t="n"/>
      <c r="H11" s="78" t="n"/>
      <c r="J11" s="96">
        <f>IF(C11="","",D11+I11)</f>
        <v/>
      </c>
      <c r="K11" s="96">
        <f>IF(C11="","",C11*J11)</f>
        <v/>
      </c>
    </row>
    <row r="12" ht="15" customHeight="1" s="49">
      <c r="A12" s="78" t="n"/>
      <c r="B12" s="78" t="n"/>
      <c r="C12" s="78" t="n"/>
      <c r="D12" s="81" t="n"/>
      <c r="E12" s="76">
        <f>IF(C12="","",C12*D12)</f>
        <v/>
      </c>
      <c r="F12" s="78" t="n"/>
      <c r="G12" s="78" t="n"/>
      <c r="H12" s="78" t="n"/>
      <c r="J12" s="96">
        <f>IF(C12="","",D12+I12)</f>
        <v/>
      </c>
      <c r="K12" s="96">
        <f>IF(C12="","",C12*J12)</f>
        <v/>
      </c>
    </row>
    <row r="13" ht="15" customHeight="1" s="49">
      <c r="A13" s="78" t="n"/>
      <c r="B13" s="78" t="n"/>
      <c r="C13" s="78" t="n"/>
      <c r="D13" s="81" t="n"/>
      <c r="E13" s="76">
        <f>IF(C13="","",C13*D13)</f>
        <v/>
      </c>
      <c r="F13" s="78" t="n"/>
      <c r="G13" s="78" t="n"/>
      <c r="H13" s="78" t="n"/>
      <c r="J13" s="96">
        <f>IF(C13="","",D13+I13)</f>
        <v/>
      </c>
      <c r="K13" s="96">
        <f>IF(C13="","",C13*J13)</f>
        <v/>
      </c>
    </row>
    <row r="14" ht="15" customHeight="1" s="49">
      <c r="A14" s="78" t="n"/>
      <c r="B14" s="78" t="n"/>
      <c r="C14" s="78" t="n"/>
      <c r="D14" s="81" t="n"/>
      <c r="E14" s="76">
        <f>IF(C14="","",C14*D14)</f>
        <v/>
      </c>
      <c r="F14" s="78" t="n"/>
      <c r="G14" s="78" t="n"/>
      <c r="H14" s="78" t="n"/>
      <c r="J14" s="96">
        <f>IF(C14="","",D14+I14)</f>
        <v/>
      </c>
      <c r="K14" s="96">
        <f>IF(C14="","",C14*J14)</f>
        <v/>
      </c>
    </row>
    <row r="15" ht="15" customHeight="1" s="49">
      <c r="A15" s="78" t="n"/>
      <c r="B15" s="78" t="n"/>
      <c r="C15" s="78" t="n"/>
      <c r="D15" s="81" t="n"/>
      <c r="E15" s="76">
        <f>IF(C15="","",C15*D15)</f>
        <v/>
      </c>
      <c r="F15" s="78" t="n"/>
      <c r="G15" s="78" t="n"/>
      <c r="H15" s="78" t="n"/>
      <c r="J15" s="96">
        <f>IF(C15="","",D15+I15)</f>
        <v/>
      </c>
      <c r="K15" s="96">
        <f>IF(C15="","",C15*J15)</f>
        <v/>
      </c>
    </row>
    <row r="16" ht="15" customHeight="1" s="49">
      <c r="A16" s="78" t="n"/>
      <c r="B16" s="78" t="n"/>
      <c r="C16" s="78" t="n"/>
      <c r="D16" s="81" t="n"/>
      <c r="E16" s="76">
        <f>IF(C16="","",C16*D16)</f>
        <v/>
      </c>
      <c r="F16" s="78" t="n"/>
      <c r="G16" s="78" t="n"/>
      <c r="H16" s="78" t="n"/>
      <c r="J16" s="96">
        <f>IF(C16="","",D16+I16)</f>
        <v/>
      </c>
      <c r="K16" s="96">
        <f>IF(C16="","",C16*J16)</f>
        <v/>
      </c>
    </row>
    <row r="17" ht="15" customHeight="1" s="49">
      <c r="A17" s="78" t="n"/>
      <c r="B17" s="78" t="n"/>
      <c r="C17" s="78" t="n"/>
      <c r="D17" s="81" t="n"/>
      <c r="E17" s="76">
        <f>IF(C17="","",C17*D17)</f>
        <v/>
      </c>
      <c r="F17" s="78" t="n"/>
      <c r="G17" s="78" t="n"/>
      <c r="H17" s="78" t="n"/>
      <c r="J17" s="96">
        <f>IF(C17="","",D17+I17)</f>
        <v/>
      </c>
      <c r="K17" s="96">
        <f>IF(C17="","",C17*J17)</f>
        <v/>
      </c>
    </row>
    <row r="18" ht="15" customHeight="1" s="49">
      <c r="A18" s="78" t="n"/>
      <c r="B18" s="78" t="n"/>
      <c r="C18" s="78" t="n"/>
      <c r="D18" s="81" t="n"/>
      <c r="E18" s="76">
        <f>IF(C18="","",C18*D18)</f>
        <v/>
      </c>
      <c r="F18" s="78" t="n"/>
      <c r="G18" s="78" t="n"/>
      <c r="H18" s="78" t="n"/>
      <c r="J18" s="96">
        <f>IF(C18="","",D18+I18)</f>
        <v/>
      </c>
      <c r="K18" s="96">
        <f>IF(C18="","",C18*J18)</f>
        <v/>
      </c>
    </row>
    <row r="19" ht="15" customHeight="1" s="49">
      <c r="A19" s="78" t="n"/>
      <c r="B19" s="78" t="n"/>
      <c r="C19" s="78" t="n"/>
      <c r="D19" s="81" t="n"/>
      <c r="E19" s="76">
        <f>IF(C19="","",C19*D19)</f>
        <v/>
      </c>
      <c r="F19" s="78" t="n"/>
      <c r="G19" s="78" t="n"/>
      <c r="H19" s="78" t="n"/>
      <c r="J19" s="96">
        <f>IF(C19="","",D19+I19)</f>
        <v/>
      </c>
      <c r="K19" s="96">
        <f>IF(C19="","",C19*J19)</f>
        <v/>
      </c>
    </row>
    <row r="20" ht="15" customHeight="1" s="49">
      <c r="A20" s="78" t="n"/>
      <c r="B20" s="78" t="n"/>
      <c r="C20" s="78" t="n"/>
      <c r="D20" s="81" t="n"/>
      <c r="E20" s="76">
        <f>IF(C20="","",C20*D20)</f>
        <v/>
      </c>
      <c r="F20" s="78" t="n"/>
      <c r="G20" s="78" t="n"/>
      <c r="H20" s="78" t="n"/>
      <c r="J20" s="96">
        <f>IF(C20="","",D20+I20)</f>
        <v/>
      </c>
      <c r="K20" s="96">
        <f>IF(C20="","",C20*J20)</f>
        <v/>
      </c>
    </row>
    <row r="21" ht="15" customHeight="1" s="49">
      <c r="A21" s="78" t="n"/>
      <c r="B21" s="78" t="n"/>
      <c r="C21" s="78" t="n"/>
      <c r="D21" s="81" t="n"/>
      <c r="E21" s="76">
        <f>IF(C21="","",C21*D21)</f>
        <v/>
      </c>
      <c r="F21" s="78" t="n"/>
      <c r="G21" s="78" t="n"/>
      <c r="H21" s="78" t="n"/>
      <c r="J21" s="96">
        <f>IF(C21="","",D21+I21)</f>
        <v/>
      </c>
      <c r="K21" s="96">
        <f>IF(C21="","",C21*J21)</f>
        <v/>
      </c>
    </row>
    <row r="22" ht="15" customHeight="1" s="49">
      <c r="A22" s="78" t="n"/>
      <c r="B22" s="78" t="n"/>
      <c r="C22" s="78" t="n"/>
      <c r="D22" s="81" t="n"/>
      <c r="E22" s="76">
        <f>IF(C22="","",C22*D22)</f>
        <v/>
      </c>
      <c r="F22" s="78" t="n"/>
      <c r="G22" s="78" t="n"/>
      <c r="H22" s="78" t="n"/>
      <c r="J22" s="96">
        <f>IF(C22="","",D22+I22)</f>
        <v/>
      </c>
      <c r="K22" s="96">
        <f>IF(C22="","",C22*J22)</f>
        <v/>
      </c>
    </row>
    <row r="23" ht="15" customHeight="1" s="49">
      <c r="A23" s="78" t="n"/>
      <c r="B23" s="78" t="n"/>
      <c r="C23" s="78" t="n"/>
      <c r="D23" s="81" t="n"/>
      <c r="E23" s="76">
        <f>IF(C23="","",C23*D23)</f>
        <v/>
      </c>
      <c r="F23" s="78" t="n"/>
      <c r="G23" s="78" t="n"/>
      <c r="H23" s="78" t="n"/>
      <c r="J23" s="96">
        <f>IF(C23="","",D23+I23)</f>
        <v/>
      </c>
      <c r="K23" s="96">
        <f>IF(C23="","",C23*J23)</f>
        <v/>
      </c>
    </row>
    <row r="24" ht="15" customHeight="1" s="49">
      <c r="A24" s="78" t="n"/>
      <c r="B24" s="78" t="n"/>
      <c r="C24" s="78" t="n"/>
      <c r="D24" s="81" t="n"/>
      <c r="E24" s="76">
        <f>IF(C24="","",C24*D24)</f>
        <v/>
      </c>
      <c r="F24" s="78" t="n"/>
      <c r="G24" s="78" t="n"/>
      <c r="H24" s="78" t="n"/>
      <c r="J24" s="96">
        <f>IF(C24="","",D24+I24)</f>
        <v/>
      </c>
      <c r="K24" s="96">
        <f>IF(C24="","",C24*J24)</f>
        <v/>
      </c>
    </row>
    <row r="25" ht="15" customHeight="1" s="49">
      <c r="A25" s="78" t="n"/>
      <c r="B25" s="78" t="n"/>
      <c r="C25" s="78" t="n"/>
      <c r="D25" s="81" t="n"/>
      <c r="E25" s="76">
        <f>IF(C25="","",C25*D25)</f>
        <v/>
      </c>
      <c r="F25" s="78" t="n"/>
      <c r="G25" s="78" t="n"/>
      <c r="H25" s="78" t="n"/>
      <c r="J25" s="96">
        <f>IF(C25="","",D25+I25)</f>
        <v/>
      </c>
      <c r="K25" s="96">
        <f>IF(C25="","",C25*J25)</f>
        <v/>
      </c>
    </row>
    <row r="26" ht="15" customHeight="1" s="49">
      <c r="A26" s="78" t="n"/>
      <c r="B26" s="78" t="n"/>
      <c r="C26" s="78" t="n"/>
      <c r="D26" s="81" t="n"/>
      <c r="E26" s="76">
        <f>IF(C26="","",C26*D26)</f>
        <v/>
      </c>
      <c r="F26" s="78" t="n"/>
      <c r="G26" s="78" t="n"/>
      <c r="H26" s="78" t="n"/>
      <c r="J26" s="96">
        <f>IF(C26="","",D26+I26)</f>
        <v/>
      </c>
      <c r="K26" s="96">
        <f>IF(C26="","",C26*J26)</f>
        <v/>
      </c>
    </row>
    <row r="27" ht="15" customHeight="1" s="49">
      <c r="A27" s="78" t="n"/>
      <c r="B27" s="78" t="n"/>
      <c r="C27" s="78" t="n"/>
      <c r="D27" s="81" t="n"/>
      <c r="E27" s="76">
        <f>IF(C27="","",C27*D27)</f>
        <v/>
      </c>
      <c r="F27" s="78" t="n"/>
      <c r="G27" s="78" t="n"/>
      <c r="H27" s="78" t="n"/>
      <c r="J27" s="96">
        <f>IF(C27="","",D27+I27)</f>
        <v/>
      </c>
      <c r="K27" s="96">
        <f>IF(C27="","",C27*J27)</f>
        <v/>
      </c>
    </row>
    <row r="28" ht="15" customHeight="1" s="49">
      <c r="A28" s="78" t="n"/>
      <c r="B28" s="78" t="n"/>
      <c r="C28" s="78" t="n"/>
      <c r="D28" s="81" t="n"/>
      <c r="E28" s="76">
        <f>IF(C28="","",C28*D28)</f>
        <v/>
      </c>
      <c r="F28" s="78" t="n"/>
      <c r="G28" s="78" t="n"/>
      <c r="H28" s="78" t="n"/>
      <c r="J28" s="96">
        <f>IF(C28="","",D28+I28)</f>
        <v/>
      </c>
      <c r="K28" s="96">
        <f>IF(C28="","",C28*J28)</f>
        <v/>
      </c>
    </row>
    <row r="29" ht="15" customHeight="1" s="49">
      <c r="A29" s="78" t="n"/>
      <c r="B29" s="78" t="n"/>
      <c r="C29" s="78" t="n"/>
      <c r="D29" s="81" t="n"/>
      <c r="E29" s="76">
        <f>IF(C29="","",C29*D29)</f>
        <v/>
      </c>
      <c r="F29" s="78" t="n"/>
      <c r="G29" s="78" t="n"/>
      <c r="H29" s="78" t="n"/>
      <c r="J29" s="96">
        <f>IF(C29="","",D29+I29)</f>
        <v/>
      </c>
      <c r="K29" s="96">
        <f>IF(C29="","",C29*J29)</f>
        <v/>
      </c>
    </row>
    <row r="30" ht="15" customHeight="1" s="49">
      <c r="A30" s="78" t="n"/>
      <c r="B30" s="78" t="n"/>
      <c r="C30" s="78" t="n"/>
      <c r="D30" s="81" t="n"/>
      <c r="E30" s="76">
        <f>IF(C30="","",C30*D30)</f>
        <v/>
      </c>
      <c r="F30" s="78" t="n"/>
      <c r="G30" s="78" t="n"/>
      <c r="H30" s="78" t="n"/>
      <c r="J30" s="96">
        <f>IF(C30="","",D30+I30)</f>
        <v/>
      </c>
      <c r="K30" s="96">
        <f>IF(C30="","",C30*J30)</f>
        <v/>
      </c>
    </row>
    <row r="31" ht="15" customHeight="1" s="49">
      <c r="A31" s="78" t="n"/>
      <c r="B31" s="78" t="n"/>
      <c r="C31" s="78" t="n"/>
      <c r="D31" s="81" t="n"/>
      <c r="E31" s="76">
        <f>IF(C31="","",C31*D31)</f>
        <v/>
      </c>
      <c r="F31" s="78" t="n"/>
      <c r="G31" s="78" t="n"/>
      <c r="H31" s="78" t="n"/>
      <c r="J31" s="96">
        <f>IF(C31="","",D31+I31)</f>
        <v/>
      </c>
      <c r="K31" s="96">
        <f>IF(C31="","",C31*J31)</f>
        <v/>
      </c>
    </row>
    <row r="32" ht="15" customHeight="1" s="49">
      <c r="A32" s="78" t="n"/>
      <c r="B32" s="78" t="n"/>
      <c r="C32" s="78" t="n"/>
      <c r="D32" s="81" t="n"/>
      <c r="E32" s="76">
        <f>IF(C32="","",C32*D32)</f>
        <v/>
      </c>
      <c r="F32" s="78" t="n"/>
      <c r="G32" s="78" t="n"/>
      <c r="H32" s="78" t="n"/>
      <c r="J32" s="96">
        <f>IF(C32="","",D32+I32)</f>
        <v/>
      </c>
      <c r="K32" s="96">
        <f>IF(C32="","",C32*J32)</f>
        <v/>
      </c>
    </row>
    <row r="33" ht="15" customHeight="1" s="49">
      <c r="A33" s="78" t="n"/>
      <c r="B33" s="78" t="n"/>
      <c r="C33" s="78" t="n"/>
      <c r="D33" s="81" t="n"/>
      <c r="E33" s="76">
        <f>IF(C33="","",C33*D33)</f>
        <v/>
      </c>
      <c r="F33" s="78" t="n"/>
      <c r="G33" s="78" t="n"/>
      <c r="H33" s="78" t="n"/>
      <c r="J33" s="96">
        <f>IF(C33="","",D33+I33)</f>
        <v/>
      </c>
      <c r="K33" s="96">
        <f>IF(C33="","",C33*J33)</f>
        <v/>
      </c>
    </row>
    <row r="34" ht="15" customHeight="1" s="49">
      <c r="A34" s="78" t="n"/>
      <c r="B34" s="78" t="n"/>
      <c r="C34" s="78" t="n"/>
      <c r="D34" s="81" t="n"/>
      <c r="E34" s="76">
        <f>IF(C34="","",C34*D34)</f>
        <v/>
      </c>
      <c r="F34" s="78" t="n"/>
      <c r="G34" s="78" t="n"/>
      <c r="H34" s="78" t="n"/>
      <c r="J34" s="96">
        <f>IF(C34="","",D34+I34)</f>
        <v/>
      </c>
      <c r="K34" s="96">
        <f>IF(C34="","",C34*J34)</f>
        <v/>
      </c>
    </row>
    <row r="35" ht="15" customHeight="1" s="49">
      <c r="A35" s="78" t="n"/>
      <c r="B35" s="78" t="n"/>
      <c r="C35" s="78" t="n"/>
      <c r="D35" s="81" t="n"/>
      <c r="E35" s="76">
        <f>IF(C35="","",C35*D35)</f>
        <v/>
      </c>
      <c r="F35" s="78" t="n"/>
      <c r="G35" s="78" t="n"/>
      <c r="H35" s="78" t="n"/>
      <c r="J35" s="96">
        <f>IF(C35="","",D35+I35)</f>
        <v/>
      </c>
      <c r="K35" s="96">
        <f>IF(C35="","",C35*J35)</f>
        <v/>
      </c>
    </row>
    <row r="36" ht="15" customHeight="1" s="49">
      <c r="A36" s="78" t="n"/>
      <c r="B36" s="78" t="n"/>
      <c r="C36" s="78" t="n"/>
      <c r="D36" s="81" t="n"/>
      <c r="E36" s="76">
        <f>IF(C36="","",C36*D36)</f>
        <v/>
      </c>
      <c r="F36" s="78" t="n"/>
      <c r="G36" s="78" t="n"/>
      <c r="H36" s="78" t="n"/>
      <c r="J36" s="96">
        <f>IF(C36="","",D36+I36)</f>
        <v/>
      </c>
      <c r="K36" s="96">
        <f>IF(C36="","",C36*J36)</f>
        <v/>
      </c>
    </row>
    <row r="37" ht="15" customHeight="1" s="49">
      <c r="A37" s="78" t="n"/>
      <c r="B37" s="78" t="n"/>
      <c r="C37" s="78" t="n"/>
      <c r="D37" s="81" t="n"/>
      <c r="E37" s="76">
        <f>IF(C37="","",C37*D37)</f>
        <v/>
      </c>
      <c r="F37" s="78" t="n"/>
      <c r="G37" s="78" t="n"/>
      <c r="H37" s="78" t="n"/>
      <c r="J37" s="96">
        <f>IF(C37="","",D37+I37)</f>
        <v/>
      </c>
      <c r="K37" s="96">
        <f>IF(C37="","",C37*J37)</f>
        <v/>
      </c>
    </row>
    <row r="38" ht="15" customHeight="1" s="49">
      <c r="A38" s="78" t="n"/>
      <c r="B38" s="78" t="n"/>
      <c r="C38" s="78" t="n"/>
      <c r="D38" s="81" t="n"/>
      <c r="E38" s="76">
        <f>IF(C38="","",C38*D38)</f>
        <v/>
      </c>
      <c r="F38" s="78" t="n"/>
      <c r="G38" s="78" t="n"/>
      <c r="H38" s="78" t="n"/>
      <c r="J38" s="96">
        <f>IF(C38="","",D38+I38)</f>
        <v/>
      </c>
      <c r="K38" s="96">
        <f>IF(C38="","",C38*J38)</f>
        <v/>
      </c>
    </row>
    <row r="39" ht="15" customHeight="1" s="49">
      <c r="A39" s="78" t="n"/>
      <c r="B39" s="78" t="n"/>
      <c r="C39" s="78" t="n"/>
      <c r="D39" s="81" t="n"/>
      <c r="E39" s="76">
        <f>IF(C39="","",C39*D39)</f>
        <v/>
      </c>
      <c r="F39" s="78" t="n"/>
      <c r="G39" s="78" t="n"/>
      <c r="H39" s="78" t="n"/>
      <c r="J39" s="96">
        <f>IF(C39="","",D39+I39)</f>
        <v/>
      </c>
      <c r="K39" s="96">
        <f>IF(C39="","",C39*J39)</f>
        <v/>
      </c>
    </row>
  </sheetData>
  <mergeCells count="1"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G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4" customWidth="1" style="48" min="1" max="1"/>
    <col width="32" customWidth="1" style="48" min="2" max="2"/>
    <col width="20" customWidth="1" style="48" min="3" max="3"/>
    <col width="14" customWidth="1" style="48" min="4" max="4"/>
    <col width="18" customWidth="1" style="48" min="5" max="6"/>
    <col width="16" customWidth="1" style="48" min="7" max="7"/>
  </cols>
  <sheetData>
    <row r="1" ht="23.25" customHeight="1" s="49">
      <c r="A1" s="61" t="inlineStr">
        <is>
          <t>SKU</t>
        </is>
      </c>
      <c r="B1" s="61" t="inlineStr">
        <is>
          <t>Назва</t>
        </is>
      </c>
      <c r="C1" s="61" t="inlineStr">
        <is>
          <t>Надруковано всього, шт</t>
        </is>
      </c>
      <c r="D1" s="61" t="inlineStr">
        <is>
          <t>Брак всього, шт</t>
        </is>
      </c>
      <c r="E1" s="61" t="inlineStr">
        <is>
          <t>Продано на сайті, шт</t>
        </is>
      </c>
      <c r="F1" s="61" t="inlineStr">
        <is>
          <t>Видано як плюшка, шт</t>
        </is>
      </c>
      <c r="G1" s="61" t="inlineStr">
        <is>
          <t>Наявно зараз, шт</t>
        </is>
      </c>
    </row>
    <row r="2" ht="15" customHeight="1" s="49">
      <c r="A2" s="80">
        <f>Номенклатура!A2</f>
        <v/>
      </c>
      <c r="B2" s="80">
        <f>IF(A2="","",Номенклатура!B2)</f>
        <v/>
      </c>
      <c r="C2" s="80">
        <f>IF(A2="","",SUMIF('Друк-лог'!$B:$B,A2,'Друк-лог'!$C:$C))</f>
        <v/>
      </c>
      <c r="D2" s="80">
        <f>IF(A2="","",SUMIF('Друк-лог'!$B:$B,A2,'Друк-лог'!$E:$E))</f>
        <v/>
      </c>
      <c r="E2" s="80">
        <f>IF(A2="","",SUMIF(Продажі!$B:$B,A2,Продажі!$D:$D))</f>
        <v/>
      </c>
      <c r="F2" s="80">
        <f>IF(A2="","",SUMIF(Маркетингові_плюшки!$B:$B,A2,Маркетингові_плюшки!$F:$F))</f>
        <v/>
      </c>
      <c r="G2" s="80">
        <f>IF(A2="","",C2-D2-E2-F2)</f>
        <v/>
      </c>
    </row>
    <row r="3" ht="15" customHeight="1" s="49">
      <c r="A3" s="80">
        <f>Номенклатура!A3</f>
        <v/>
      </c>
      <c r="B3" s="80">
        <f>IF(A3="","",Номенклатура!B3)</f>
        <v/>
      </c>
      <c r="C3" s="80">
        <f>IF(A3="","",SUMIF('Друк-лог'!$B:$B,A3,'Друк-лог'!$C:$C))</f>
        <v/>
      </c>
      <c r="D3" s="80">
        <f>IF(A3="","",SUMIF('Друк-лог'!$B:$B,A3,'Друк-лог'!$E:$E))</f>
        <v/>
      </c>
      <c r="E3" s="80">
        <f>IF(A3="","",SUMIF(Продажі!$B:$B,A3,Продажі!$D:$D))</f>
        <v/>
      </c>
      <c r="F3" s="80">
        <f>IF(A3="","",SUMIF(Маркетингові_плюшки!$B:$B,A3,Маркетингові_плюшки!$F:$F))</f>
        <v/>
      </c>
      <c r="G3" s="80">
        <f>IF(A3="","",C3-D3-E3-F3)</f>
        <v/>
      </c>
    </row>
    <row r="4" ht="15" customHeight="1" s="49">
      <c r="A4" s="80">
        <f>Номенклатура!A4</f>
        <v/>
      </c>
      <c r="B4" s="80">
        <f>IF(A4="","",Номенклатура!B4)</f>
        <v/>
      </c>
      <c r="C4" s="80">
        <f>IF(A4="","",SUMIF('Друк-лог'!$B:$B,A4,'Друк-лог'!$C:$C))</f>
        <v/>
      </c>
      <c r="D4" s="80">
        <f>IF(A4="","",SUMIF('Друк-лог'!$B:$B,A4,'Друк-лог'!$E:$E))</f>
        <v/>
      </c>
      <c r="E4" s="80">
        <f>IF(A4="","",SUMIF(Продажі!$B:$B,A4,Продажі!$D:$D))</f>
        <v/>
      </c>
      <c r="F4" s="80">
        <f>IF(A4="","",SUMIF(Маркетингові_плюшки!$B:$B,A4,Маркетингові_плюшки!$F:$F))</f>
        <v/>
      </c>
      <c r="G4" s="80">
        <f>IF(A4="","",C4-D4-E4-F4)</f>
        <v/>
      </c>
    </row>
    <row r="5" ht="15" customHeight="1" s="49">
      <c r="A5" s="80">
        <f>Номенклатура!A5</f>
        <v/>
      </c>
      <c r="B5" s="80">
        <f>IF(A5="","",Номенклатура!B5)</f>
        <v/>
      </c>
      <c r="C5" s="80">
        <f>IF(A5="","",SUMIF('Друк-лог'!$B:$B,A5,'Друк-лог'!$C:$C))</f>
        <v/>
      </c>
      <c r="D5" s="80">
        <f>IF(A5="","",SUMIF('Друк-лог'!$B:$B,A5,'Друк-лог'!$E:$E))</f>
        <v/>
      </c>
      <c r="E5" s="80">
        <f>IF(A5="","",SUMIF(Продажі!$B:$B,A5,Продажі!$D:$D))</f>
        <v/>
      </c>
      <c r="F5" s="80">
        <f>IF(A5="","",SUMIF(Маркетингові_плюшки!$B:$B,A5,Маркетингові_плюшки!$F:$F))</f>
        <v/>
      </c>
      <c r="G5" s="80">
        <f>IF(A5="","",C5-D5-E5-F5)</f>
        <v/>
      </c>
    </row>
    <row r="6" ht="15" customHeight="1" s="49">
      <c r="A6" s="80">
        <f>Номенклатура!A6</f>
        <v/>
      </c>
      <c r="B6" s="80">
        <f>IF(A6="","",Номенклатура!B6)</f>
        <v/>
      </c>
      <c r="C6" s="80">
        <f>IF(A6="","",SUMIF('Друк-лог'!$B:$B,A6,'Друк-лог'!$C:$C))</f>
        <v/>
      </c>
      <c r="D6" s="80">
        <f>IF(A6="","",SUMIF('Друк-лог'!$B:$B,A6,'Друк-лог'!$E:$E))</f>
        <v/>
      </c>
      <c r="E6" s="80">
        <f>IF(A6="","",SUMIF(Продажі!$B:$B,A6,Продажі!$D:$D))</f>
        <v/>
      </c>
      <c r="F6" s="80">
        <f>IF(A6="","",SUMIF(Маркетингові_плюшки!$B:$B,A6,Маркетингові_плюшки!$F:$F))</f>
        <v/>
      </c>
      <c r="G6" s="80">
        <f>IF(A6="","",C6-D6-E6-F6)</f>
        <v/>
      </c>
    </row>
    <row r="7" ht="15" customHeight="1" s="49">
      <c r="A7" s="80">
        <f>Номенклатура!A7</f>
        <v/>
      </c>
      <c r="B7" s="80">
        <f>IF(A7="","",Номенклатура!B7)</f>
        <v/>
      </c>
      <c r="C7" s="80">
        <f>IF(A7="","",SUMIF('Друк-лог'!$B:$B,A7,'Друк-лог'!$C:$C))</f>
        <v/>
      </c>
      <c r="D7" s="80">
        <f>IF(A7="","",SUMIF('Друк-лог'!$B:$B,A7,'Друк-лог'!$E:$E))</f>
        <v/>
      </c>
      <c r="E7" s="80">
        <f>IF(A7="","",SUMIF(Продажі!$B:$B,A7,Продажі!$D:$D))</f>
        <v/>
      </c>
      <c r="F7" s="80">
        <f>IF(A7="","",SUMIF(Маркетингові_плюшки!$B:$B,A7,Маркетингові_плюшки!$F:$F))</f>
        <v/>
      </c>
      <c r="G7" s="80">
        <f>IF(A7="","",C7-D7-E7-F7)</f>
        <v/>
      </c>
    </row>
    <row r="8" ht="15" customHeight="1" s="49">
      <c r="A8" s="80">
        <f>Номенклатура!A8</f>
        <v/>
      </c>
      <c r="B8" s="80">
        <f>IF(A8="","",Номенклатура!B8)</f>
        <v/>
      </c>
      <c r="C8" s="80">
        <f>IF(A8="","",SUMIF('Друк-лог'!$B:$B,A8,'Друк-лог'!$C:$C))</f>
        <v/>
      </c>
      <c r="D8" s="80">
        <f>IF(A8="","",SUMIF('Друк-лог'!$B:$B,A8,'Друк-лог'!$E:$E))</f>
        <v/>
      </c>
      <c r="E8" s="80">
        <f>IF(A8="","",SUMIF(Продажі!$B:$B,A8,Продажі!$D:$D))</f>
        <v/>
      </c>
      <c r="F8" s="80">
        <f>IF(A8="","",SUMIF(Маркетингові_плюшки!$B:$B,A8,Маркетингові_плюшки!$F:$F))</f>
        <v/>
      </c>
      <c r="G8" s="80">
        <f>IF(A8="","",C8-D8-E8-F8)</f>
        <v/>
      </c>
    </row>
    <row r="9" ht="15" customHeight="1" s="49">
      <c r="A9" s="80">
        <f>Номенклатура!A9</f>
        <v/>
      </c>
      <c r="B9" s="80">
        <f>IF(A9="","",Номенклатура!B9)</f>
        <v/>
      </c>
      <c r="C9" s="80">
        <f>IF(A9="","",SUMIF('Друк-лог'!$B:$B,A9,'Друк-лог'!$C:$C))</f>
        <v/>
      </c>
      <c r="D9" s="80">
        <f>IF(A9="","",SUMIF('Друк-лог'!$B:$B,A9,'Друк-лог'!$E:$E))</f>
        <v/>
      </c>
      <c r="E9" s="80">
        <f>IF(A9="","",SUMIF(Продажі!$B:$B,A9,Продажі!$D:$D))</f>
        <v/>
      </c>
      <c r="F9" s="80">
        <f>IF(A9="","",SUMIF(Маркетингові_плюшки!$B:$B,A9,Маркетингові_плюшки!$F:$F))</f>
        <v/>
      </c>
      <c r="G9" s="80">
        <f>IF(A9="","",C9-D9-E9-F9)</f>
        <v/>
      </c>
    </row>
    <row r="10" ht="15" customHeight="1" s="49">
      <c r="A10" s="80">
        <f>Номенклатура!A10</f>
        <v/>
      </c>
      <c r="B10" s="80">
        <f>IF(A10="","",Номенклатура!B10)</f>
        <v/>
      </c>
      <c r="C10" s="80">
        <f>IF(A10="","",SUMIF('Друк-лог'!$B:$B,A10,'Друк-лог'!$C:$C))</f>
        <v/>
      </c>
      <c r="D10" s="80">
        <f>IF(A10="","",SUMIF('Друк-лог'!$B:$B,A10,'Друк-лог'!$E:$E))</f>
        <v/>
      </c>
      <c r="E10" s="80">
        <f>IF(A10="","",SUMIF(Продажі!$B:$B,A10,Продажі!$D:$D))</f>
        <v/>
      </c>
      <c r="F10" s="80">
        <f>IF(A10="","",SUMIF(Маркетингові_плюшки!$B:$B,A10,Маркетингові_плюшки!$F:$F))</f>
        <v/>
      </c>
      <c r="G10" s="80">
        <f>IF(A10="","",C10-D10-E10-F10)</f>
        <v/>
      </c>
    </row>
    <row r="11" ht="15" customHeight="1" s="49">
      <c r="A11" s="80">
        <f>Номенклатура!A11</f>
        <v/>
      </c>
      <c r="B11" s="80">
        <f>IF(A11="","",Номенклатура!B11)</f>
        <v/>
      </c>
      <c r="C11" s="80">
        <f>IF(A11="","",SUMIF('Друк-лог'!$B:$B,A11,'Друк-лог'!$C:$C))</f>
        <v/>
      </c>
      <c r="D11" s="80">
        <f>IF(A11="","",SUMIF('Друк-лог'!$B:$B,A11,'Друк-лог'!$E:$E))</f>
        <v/>
      </c>
      <c r="E11" s="80">
        <f>IF(A11="","",SUMIF(Продажі!$B:$B,A11,Продажі!$D:$D))</f>
        <v/>
      </c>
      <c r="F11" s="80">
        <f>IF(A11="","",SUMIF(Маркетингові_плюшки!$B:$B,A11,Маркетингові_плюшки!$F:$F))</f>
        <v/>
      </c>
      <c r="G11" s="80">
        <f>IF(A11="","",C11-D11-E11-F11)</f>
        <v/>
      </c>
    </row>
    <row r="12" ht="15" customHeight="1" s="49">
      <c r="A12" s="80">
        <f>Номенклатура!A12</f>
        <v/>
      </c>
      <c r="B12" s="80">
        <f>IF(A12="","",Номенклатура!B12)</f>
        <v/>
      </c>
      <c r="C12" s="80">
        <f>IF(A12="","",SUMIF('Друк-лог'!$B:$B,A12,'Друк-лог'!$C:$C))</f>
        <v/>
      </c>
      <c r="D12" s="80">
        <f>IF(A12="","",SUMIF('Друк-лог'!$B:$B,A12,'Друк-лог'!$E:$E))</f>
        <v/>
      </c>
      <c r="E12" s="80">
        <f>IF(A12="","",SUMIF(Продажі!$B:$B,A12,Продажі!$D:$D))</f>
        <v/>
      </c>
      <c r="F12" s="80">
        <f>IF(A12="","",SUMIF(Маркетингові_плюшки!$B:$B,A12,Маркетингові_плюшки!$F:$F))</f>
        <v/>
      </c>
      <c r="G12" s="80">
        <f>IF(A12="","",C12-D12-E12-F12)</f>
        <v/>
      </c>
    </row>
    <row r="13" ht="15" customHeight="1" s="49">
      <c r="A13" s="80">
        <f>Номенклатура!A13</f>
        <v/>
      </c>
      <c r="B13" s="80">
        <f>IF(A13="","",Номенклатура!B13)</f>
        <v/>
      </c>
      <c r="C13" s="80">
        <f>IF(A13="","",SUMIF('Друк-лог'!$B:$B,A13,'Друк-лог'!$C:$C))</f>
        <v/>
      </c>
      <c r="D13" s="80">
        <f>IF(A13="","",SUMIF('Друк-лог'!$B:$B,A13,'Друк-лог'!$E:$E))</f>
        <v/>
      </c>
      <c r="E13" s="80">
        <f>IF(A13="","",SUMIF(Продажі!$B:$B,A13,Продажі!$D:$D))</f>
        <v/>
      </c>
      <c r="F13" s="80">
        <f>IF(A13="","",SUMIF(Маркетингові_плюшки!$B:$B,A13,Маркетингові_плюшки!$F:$F))</f>
        <v/>
      </c>
      <c r="G13" s="80">
        <f>IF(A13="","",C13-D13-E13-F13)</f>
        <v/>
      </c>
    </row>
    <row r="14" ht="15" customHeight="1" s="49">
      <c r="A14" s="80">
        <f>Номенклатура!A14</f>
        <v/>
      </c>
      <c r="B14" s="80">
        <f>IF(A14="","",Номенклатура!B14)</f>
        <v/>
      </c>
      <c r="C14" s="80">
        <f>IF(A14="","",SUMIF('Друк-лог'!$B:$B,A14,'Друк-лог'!$C:$C))</f>
        <v/>
      </c>
      <c r="D14" s="80">
        <f>IF(A14="","",SUMIF('Друк-лог'!$B:$B,A14,'Друк-лог'!$E:$E))</f>
        <v/>
      </c>
      <c r="E14" s="80">
        <f>IF(A14="","",SUMIF(Продажі!$B:$B,A14,Продажі!$D:$D))</f>
        <v/>
      </c>
      <c r="F14" s="80">
        <f>IF(A14="","",SUMIF(Маркетингові_плюшки!$B:$B,A14,Маркетингові_плюшки!$F:$F))</f>
        <v/>
      </c>
      <c r="G14" s="80">
        <f>IF(A14="","",C14-D14-E14-F14)</f>
        <v/>
      </c>
    </row>
    <row r="15" ht="15" customHeight="1" s="49">
      <c r="A15" s="80">
        <f>Номенклатура!A15</f>
        <v/>
      </c>
      <c r="B15" s="80">
        <f>IF(A15="","",Номенклатура!B15)</f>
        <v/>
      </c>
      <c r="C15" s="80">
        <f>IF(A15="","",SUMIF('Друк-лог'!$B:$B,A15,'Друк-лог'!$C:$C))</f>
        <v/>
      </c>
      <c r="D15" s="80">
        <f>IF(A15="","",SUMIF('Друк-лог'!$B:$B,A15,'Друк-лог'!$E:$E))</f>
        <v/>
      </c>
      <c r="E15" s="80">
        <f>IF(A15="","",SUMIF(Продажі!$B:$B,A15,Продажі!$D:$D))</f>
        <v/>
      </c>
      <c r="F15" s="80">
        <f>IF(A15="","",SUMIF(Маркетингові_плюшки!$B:$B,A15,Маркетингові_плюшки!$F:$F))</f>
        <v/>
      </c>
      <c r="G15" s="80">
        <f>IF(A15="","",C15-D15-E15-F15)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N6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48" min="1" max="1"/>
    <col width="46" customWidth="1" style="48" min="2" max="2"/>
    <col width="10" customWidth="1" style="48" min="3" max="4"/>
    <col width="14" customWidth="1" style="48" min="5" max="9"/>
    <col width="16" customWidth="1" style="48" min="10" max="13"/>
    <col width="20" customWidth="1" style="48" min="14" max="14"/>
  </cols>
  <sheetData>
    <row r="1" ht="17.25" customHeight="1" s="49">
      <c r="A1" s="50" t="inlineStr">
        <is>
          <t>Маржа-калькулятор по SKU (цінові сценарії, формула 50/50 після повернення собівартості)</t>
        </is>
      </c>
    </row>
    <row r="3" ht="34.5" customHeight="1" s="49">
      <c r="A3" s="61" t="inlineStr">
        <is>
          <t>SKU</t>
        </is>
      </c>
      <c r="B3" s="61" t="inlineStr">
        <is>
          <t>Назва</t>
        </is>
      </c>
      <c r="C3" s="61" t="inlineStr">
        <is>
          <t>Собівартість Сергія, грн</t>
        </is>
      </c>
      <c r="D3" s="61" t="inlineStr">
        <is>
          <t>Витрати BoosterShop, грн</t>
        </is>
      </c>
      <c r="E3" s="61" t="inlineStr">
        <is>
          <t>Час друку, год</t>
        </is>
      </c>
      <c r="F3" s="61" t="inlineStr">
        <is>
          <t>% прибутку Сергію</t>
        </is>
      </c>
      <c r="G3" s="61" t="inlineStr">
        <is>
          <t>Ціна Консервативна</t>
        </is>
      </c>
      <c r="H3" s="61" t="inlineStr">
        <is>
          <t>Ціна Середня</t>
        </is>
      </c>
      <c r="I3" s="61" t="inlineStr">
        <is>
          <t>Ціна Оптимістична</t>
        </is>
      </c>
      <c r="J3" s="61" t="inlineStr">
        <is>
          <t>Маржа BoosterShop Консерв, грн</t>
        </is>
      </c>
      <c r="K3" s="61" t="inlineStr">
        <is>
          <t>Маржа BoosterShop Середня, грн</t>
        </is>
      </c>
      <c r="L3" s="61" t="inlineStr">
        <is>
          <t>Маржа BoosterShop Оптим, грн</t>
        </is>
      </c>
      <c r="M3" s="61" t="inlineStr">
        <is>
          <t>Нараховано Сергію (Середня), грн</t>
        </is>
      </c>
      <c r="N3" s="61" t="inlineStr">
        <is>
          <t>Прибуток Сергію/год друку (Середня), грн</t>
        </is>
      </c>
    </row>
    <row r="4" ht="15" customHeight="1" s="49">
      <c r="A4" s="80">
        <f>Номенклатура!A2</f>
        <v/>
      </c>
      <c r="B4" s="80">
        <f>IF(A4="","",Номенклатура!B2)</f>
        <v/>
      </c>
      <c r="C4" s="76">
        <f>IF(A4="","",Номенклатура!K2)</f>
        <v/>
      </c>
      <c r="D4" s="85" t="n"/>
      <c r="E4" s="80">
        <f>IF(A4="","",Номенклатура!G2)</f>
        <v/>
      </c>
      <c r="F4" s="86" t="n">
        <v>0.5</v>
      </c>
      <c r="G4" s="85" t="n"/>
      <c r="H4" s="85" t="n"/>
      <c r="I4" s="85" t="n"/>
      <c r="J4" s="76">
        <f>IF(OR(A4="",G4=""),"",IF(G4-C4-D4&lt;0,"збиток",(G4-C4-D4)*(1-F4)))</f>
        <v/>
      </c>
      <c r="K4" s="76">
        <f>IF(OR(A4="",H4=""),"",IF(H4-C4-D4&lt;0,"збиток",(H4-C4-D4)*(1-F4)))</f>
        <v/>
      </c>
      <c r="L4" s="76">
        <f>IF(OR(A4="",I4=""),"",IF(I4-C4-D4&lt;0,"збиток",(I4-C4-D4)*(1-F4)))</f>
        <v/>
      </c>
      <c r="M4" s="76">
        <f>IF(OR(A4="",H4=""),"",IF(H4-C4-D4&lt;0,"збиток",C4+F4*(H4-C4-D4)))</f>
        <v/>
      </c>
      <c r="N4" s="76">
        <f>IF(OR(E4="",E4=0,M4=""),"",IF(ISNUMBER(M4),M4/E4,"збиток"))</f>
        <v/>
      </c>
    </row>
    <row r="5" ht="15" customHeight="1" s="49">
      <c r="A5" s="80">
        <f>Номенклатура!A3</f>
        <v/>
      </c>
      <c r="B5" s="80">
        <f>IF(A5="","",Номенклатура!B3)</f>
        <v/>
      </c>
      <c r="C5" s="76">
        <f>IF(A5="","",Номенклатура!K3)</f>
        <v/>
      </c>
      <c r="D5" s="85" t="n"/>
      <c r="E5" s="80">
        <f>IF(A5="","",Номенклатура!G3)</f>
        <v/>
      </c>
      <c r="F5" s="86" t="n">
        <v>0.5</v>
      </c>
      <c r="G5" s="85" t="n"/>
      <c r="H5" s="85" t="n"/>
      <c r="I5" s="85" t="n"/>
      <c r="J5" s="76">
        <f>IF(OR(A5="",G5=""),"",IF(G5-C5-D5&lt;0,"збиток",(G5-C5-D5)*(1-F5)))</f>
        <v/>
      </c>
      <c r="K5" s="76">
        <f>IF(OR(A5="",H5=""),"",IF(H5-C5-D5&lt;0,"збиток",(H5-C5-D5)*(1-F5)))</f>
        <v/>
      </c>
      <c r="L5" s="76">
        <f>IF(OR(A5="",I5=""),"",IF(I5-C5-D5&lt;0,"збиток",(I5-C5-D5)*(1-F5)))</f>
        <v/>
      </c>
      <c r="M5" s="76">
        <f>IF(OR(A5="",H5=""),"",IF(H5-C5-D5&lt;0,"збиток",C5+F5*(H5-C5-D5)))</f>
        <v/>
      </c>
      <c r="N5" s="76">
        <f>IF(OR(E5="",E5=0,M5=""),"",IF(ISNUMBER(M5),M5/E5,"збиток"))</f>
        <v/>
      </c>
    </row>
    <row r="6" ht="15" customHeight="1" s="49">
      <c r="A6" s="80">
        <f>Номенклатура!A4</f>
        <v/>
      </c>
      <c r="B6" s="80">
        <f>IF(A6="","",Номенклатура!B4)</f>
        <v/>
      </c>
      <c r="C6" s="76">
        <f>IF(A6="","",Номенклатура!K4)</f>
        <v/>
      </c>
      <c r="D6" s="85" t="n"/>
      <c r="E6" s="80">
        <f>IF(A6="","",Номенклатура!G4)</f>
        <v/>
      </c>
      <c r="F6" s="86" t="n">
        <v>0.5</v>
      </c>
      <c r="G6" s="85" t="n"/>
      <c r="H6" s="85" t="n"/>
      <c r="I6" s="85" t="n"/>
      <c r="J6" s="76">
        <f>IF(OR(A6="",G6=""),"",IF(G6-C6-D6&lt;0,"збиток",(G6-C6-D6)*(1-F6)))</f>
        <v/>
      </c>
      <c r="K6" s="76">
        <f>IF(OR(A6="",H6=""),"",IF(H6-C6-D6&lt;0,"збиток",(H6-C6-D6)*(1-F6)))</f>
        <v/>
      </c>
      <c r="L6" s="76">
        <f>IF(OR(A6="",I6=""),"",IF(I6-C6-D6&lt;0,"збиток",(I6-C6-D6)*(1-F6)))</f>
        <v/>
      </c>
      <c r="M6" s="76">
        <f>IF(OR(A6="",H6=""),"",IF(H6-C6-D6&lt;0,"збиток",C6+F6*(H6-C6-D6)))</f>
        <v/>
      </c>
      <c r="N6" s="76">
        <f>IF(OR(E6="",E6=0,M6=""),"",IF(ISNUMBER(M6),M6/E6,"збиток"))</f>
        <v/>
      </c>
    </row>
    <row r="7" ht="15" customHeight="1" s="49">
      <c r="A7" s="80">
        <f>Номенклатура!A5</f>
        <v/>
      </c>
      <c r="B7" s="80">
        <f>IF(A7="","",Номенклатура!B5)</f>
        <v/>
      </c>
      <c r="C7" s="76">
        <f>IF(A7="","",Номенклатура!K5)</f>
        <v/>
      </c>
      <c r="D7" s="85" t="n"/>
      <c r="E7" s="80">
        <f>IF(A7="","",Номенклатура!G5)</f>
        <v/>
      </c>
      <c r="F7" s="86" t="n">
        <v>0.5</v>
      </c>
      <c r="G7" s="85" t="n"/>
      <c r="H7" s="85" t="n"/>
      <c r="I7" s="85" t="n"/>
      <c r="J7" s="76">
        <f>IF(OR(A7="",G7=""),"",IF(G7-C7-D7&lt;0,"збиток",(G7-C7-D7)*(1-F7)))</f>
        <v/>
      </c>
      <c r="K7" s="76">
        <f>IF(OR(A7="",H7=""),"",IF(H7-C7-D7&lt;0,"збиток",(H7-C7-D7)*(1-F7)))</f>
        <v/>
      </c>
      <c r="L7" s="76">
        <f>IF(OR(A7="",I7=""),"",IF(I7-C7-D7&lt;0,"збиток",(I7-C7-D7)*(1-F7)))</f>
        <v/>
      </c>
      <c r="M7" s="76">
        <f>IF(OR(A7="",H7=""),"",IF(H7-C7-D7&lt;0,"збиток",C7+F7*(H7-C7-D7)))</f>
        <v/>
      </c>
      <c r="N7" s="76">
        <f>IF(OR(E7="",E7=0,M7=""),"",IF(ISNUMBER(M7),M7/E7,"збиток"))</f>
        <v/>
      </c>
    </row>
    <row r="8" ht="15" customHeight="1" s="49">
      <c r="A8" s="80">
        <f>Номенклатура!A6</f>
        <v/>
      </c>
      <c r="B8" s="80">
        <f>IF(A8="","",Номенклатура!B6)</f>
        <v/>
      </c>
      <c r="C8" s="76">
        <f>IF(A8="","",Номенклатура!K6)</f>
        <v/>
      </c>
      <c r="D8" s="85" t="n"/>
      <c r="E8" s="80">
        <f>IF(A8="","",Номенклатура!G6)</f>
        <v/>
      </c>
      <c r="F8" s="86" t="n">
        <v>0.5</v>
      </c>
      <c r="G8" s="85" t="n"/>
      <c r="H8" s="85" t="n"/>
      <c r="I8" s="85" t="n"/>
      <c r="J8" s="76">
        <f>IF(OR(A8="",G8=""),"",IF(G8-C8-D8&lt;0,"збиток",(G8-C8-D8)*(1-F8)))</f>
        <v/>
      </c>
      <c r="K8" s="76">
        <f>IF(OR(A8="",H8=""),"",IF(H8-C8-D8&lt;0,"збиток",(H8-C8-D8)*(1-F8)))</f>
        <v/>
      </c>
      <c r="L8" s="76">
        <f>IF(OR(A8="",I8=""),"",IF(I8-C8-D8&lt;0,"збиток",(I8-C8-D8)*(1-F8)))</f>
        <v/>
      </c>
      <c r="M8" s="76">
        <f>IF(OR(A8="",H8=""),"",IF(H8-C8-D8&lt;0,"збиток",C8+F8*(H8-C8-D8)))</f>
        <v/>
      </c>
      <c r="N8" s="76">
        <f>IF(OR(E8="",E8=0,M8=""),"",IF(ISNUMBER(M8),M8/E8,"збиток"))</f>
        <v/>
      </c>
    </row>
    <row r="9" ht="15" customHeight="1" s="49">
      <c r="A9" s="80">
        <f>Номенклатура!A7</f>
        <v/>
      </c>
      <c r="B9" s="80">
        <f>IF(A9="","",Номенклатура!B7)</f>
        <v/>
      </c>
      <c r="C9" s="76">
        <f>IF(A9="","",Номенклатура!K7)</f>
        <v/>
      </c>
      <c r="D9" s="85" t="n"/>
      <c r="E9" s="80">
        <f>IF(A9="","",Номенклатура!G7)</f>
        <v/>
      </c>
      <c r="F9" s="86" t="n">
        <v>0.5</v>
      </c>
      <c r="G9" s="85" t="n"/>
      <c r="H9" s="85" t="n"/>
      <c r="I9" s="85" t="n"/>
      <c r="J9" s="76">
        <f>IF(OR(A9="",G9=""),"",IF(G9-C9-D9&lt;0,"збиток",(G9-C9-D9)*(1-F9)))</f>
        <v/>
      </c>
      <c r="K9" s="76">
        <f>IF(OR(A9="",H9=""),"",IF(H9-C9-D9&lt;0,"збиток",(H9-C9-D9)*(1-F9)))</f>
        <v/>
      </c>
      <c r="L9" s="76">
        <f>IF(OR(A9="",I9=""),"",IF(I9-C9-D9&lt;0,"збиток",(I9-C9-D9)*(1-F9)))</f>
        <v/>
      </c>
      <c r="M9" s="76">
        <f>IF(OR(A9="",H9=""),"",IF(H9-C9-D9&lt;0,"збиток",C9+F9*(H9-C9-D9)))</f>
        <v/>
      </c>
      <c r="N9" s="76">
        <f>IF(OR(E9="",E9=0,M9=""),"",IF(ISNUMBER(M9),M9/E9,"збиток"))</f>
        <v/>
      </c>
    </row>
    <row r="10" ht="15" customHeight="1" s="49">
      <c r="A10" s="80">
        <f>Номенклатура!A8</f>
        <v/>
      </c>
      <c r="B10" s="80">
        <f>IF(A10="","",Номенклатура!B8)</f>
        <v/>
      </c>
      <c r="C10" s="76">
        <f>IF(A10="","",Номенклатура!K8)</f>
        <v/>
      </c>
      <c r="D10" s="85" t="n"/>
      <c r="E10" s="80">
        <f>IF(A10="","",Номенклатура!G8)</f>
        <v/>
      </c>
      <c r="F10" s="86" t="n">
        <v>0.5</v>
      </c>
      <c r="G10" s="85" t="n"/>
      <c r="H10" s="85" t="n"/>
      <c r="I10" s="85" t="n"/>
      <c r="J10" s="76">
        <f>IF(OR(A10="",G10=""),"",IF(G10-C10-D10&lt;0,"збиток",(G10-C10-D10)*(1-F10)))</f>
        <v/>
      </c>
      <c r="K10" s="76">
        <f>IF(OR(A10="",H10=""),"",IF(H10-C10-D10&lt;0,"збиток",(H10-C10-D10)*(1-F10)))</f>
        <v/>
      </c>
      <c r="L10" s="76">
        <f>IF(OR(A10="",I10=""),"",IF(I10-C10-D10&lt;0,"збиток",(I10-C10-D10)*(1-F10)))</f>
        <v/>
      </c>
      <c r="M10" s="76">
        <f>IF(OR(A10="",H10=""),"",IF(H10-C10-D10&lt;0,"збиток",C10+F10*(H10-C10-D10)))</f>
        <v/>
      </c>
      <c r="N10" s="76">
        <f>IF(OR(E10="",E10=0,M10=""),"",IF(ISNUMBER(M10),M10/E10,"збиток"))</f>
        <v/>
      </c>
    </row>
    <row r="11" ht="15" customHeight="1" s="49">
      <c r="A11" s="80">
        <f>Номенклатура!A9</f>
        <v/>
      </c>
      <c r="B11" s="80">
        <f>IF(A11="","",Номенклатура!B9)</f>
        <v/>
      </c>
      <c r="C11" s="76">
        <f>IF(A11="","",Номенклатура!K9)</f>
        <v/>
      </c>
      <c r="D11" s="85" t="n"/>
      <c r="E11" s="80">
        <f>IF(A11="","",Номенклатура!G9)</f>
        <v/>
      </c>
      <c r="F11" s="86" t="n">
        <v>0.5</v>
      </c>
      <c r="G11" s="85" t="n"/>
      <c r="H11" s="85" t="n"/>
      <c r="I11" s="85" t="n"/>
      <c r="J11" s="76">
        <f>IF(OR(A11="",G11=""),"",IF(G11-C11-D11&lt;0,"збиток",(G11-C11-D11)*(1-F11)))</f>
        <v/>
      </c>
      <c r="K11" s="76">
        <f>IF(OR(A11="",H11=""),"",IF(H11-C11-D11&lt;0,"збиток",(H11-C11-D11)*(1-F11)))</f>
        <v/>
      </c>
      <c r="L11" s="76">
        <f>IF(OR(A11="",I11=""),"",IF(I11-C11-D11&lt;0,"збиток",(I11-C11-D11)*(1-F11)))</f>
        <v/>
      </c>
      <c r="M11" s="76">
        <f>IF(OR(A11="",H11=""),"",IF(H11-C11-D11&lt;0,"збиток",C11+F11*(H11-C11-D11)))</f>
        <v/>
      </c>
      <c r="N11" s="76">
        <f>IF(OR(E11="",E11=0,M11=""),"",IF(ISNUMBER(M11),M11/E11,"збиток"))</f>
        <v/>
      </c>
    </row>
    <row r="12" ht="15" customHeight="1" s="49">
      <c r="A12" s="80">
        <f>Номенклатура!A10</f>
        <v/>
      </c>
      <c r="B12" s="80">
        <f>IF(A12="","",Номенклатура!B10)</f>
        <v/>
      </c>
      <c r="C12" s="76">
        <f>IF(A12="","",Номенклатура!K10)</f>
        <v/>
      </c>
      <c r="D12" s="85" t="n"/>
      <c r="E12" s="80">
        <f>IF(A12="","",Номенклатура!G10)</f>
        <v/>
      </c>
      <c r="F12" s="86" t="n">
        <v>0.5</v>
      </c>
      <c r="G12" s="85" t="n"/>
      <c r="H12" s="85" t="n"/>
      <c r="I12" s="85" t="n"/>
      <c r="J12" s="76">
        <f>IF(OR(A12="",G12=""),"",IF(G12-C12-D12&lt;0,"збиток",(G12-C12-D12)*(1-F12)))</f>
        <v/>
      </c>
      <c r="K12" s="76">
        <f>IF(OR(A12="",H12=""),"",IF(H12-C12-D12&lt;0,"збиток",(H12-C12-D12)*(1-F12)))</f>
        <v/>
      </c>
      <c r="L12" s="76">
        <f>IF(OR(A12="",I12=""),"",IF(I12-C12-D12&lt;0,"збиток",(I12-C12-D12)*(1-F12)))</f>
        <v/>
      </c>
      <c r="M12" s="76">
        <f>IF(OR(A12="",H12=""),"",IF(H12-C12-D12&lt;0,"збиток",C12+F12*(H12-C12-D12)))</f>
        <v/>
      </c>
      <c r="N12" s="76">
        <f>IF(OR(E12="",E12=0,M12=""),"",IF(ISNUMBER(M12),M12/E12,"збиток"))</f>
        <v/>
      </c>
    </row>
    <row r="13" ht="15" customHeight="1" s="49">
      <c r="A13" s="80">
        <f>Номенклатура!A11</f>
        <v/>
      </c>
      <c r="B13" s="80">
        <f>IF(A13="","",Номенклатура!B11)</f>
        <v/>
      </c>
      <c r="C13" s="76">
        <f>IF(A13="","",Номенклатура!K11)</f>
        <v/>
      </c>
      <c r="D13" s="85" t="n"/>
      <c r="E13" s="80">
        <f>IF(A13="","",Номенклатура!G11)</f>
        <v/>
      </c>
      <c r="F13" s="86" t="n">
        <v>0.5</v>
      </c>
      <c r="G13" s="85" t="n"/>
      <c r="H13" s="85" t="n"/>
      <c r="I13" s="85" t="n"/>
      <c r="J13" s="76">
        <f>IF(OR(A13="",G13=""),"",IF(G13-C13-D13&lt;0,"збиток",(G13-C13-D13)*(1-F13)))</f>
        <v/>
      </c>
      <c r="K13" s="76">
        <f>IF(OR(A13="",H13=""),"",IF(H13-C13-D13&lt;0,"збиток",(H13-C13-D13)*(1-F13)))</f>
        <v/>
      </c>
      <c r="L13" s="76">
        <f>IF(OR(A13="",I13=""),"",IF(I13-C13-D13&lt;0,"збиток",(I13-C13-D13)*(1-F13)))</f>
        <v/>
      </c>
      <c r="M13" s="76">
        <f>IF(OR(A13="",H13=""),"",IF(H13-C13-D13&lt;0,"збиток",C13+F13*(H13-C13-D13)))</f>
        <v/>
      </c>
      <c r="N13" s="76">
        <f>IF(OR(E13="",E13=0,M13=""),"",IF(ISNUMBER(M13),M13/E13,"збиток"))</f>
        <v/>
      </c>
    </row>
    <row r="14" ht="15" customHeight="1" s="49">
      <c r="A14" s="80">
        <f>Номенклатура!A12</f>
        <v/>
      </c>
      <c r="B14" s="80">
        <f>IF(A14="","",Номенклатура!B12)</f>
        <v/>
      </c>
      <c r="C14" s="76">
        <f>IF(A14="","",Номенклатура!K12)</f>
        <v/>
      </c>
      <c r="D14" s="85" t="n"/>
      <c r="E14" s="80">
        <f>IF(A14="","",Номенклатура!G12)</f>
        <v/>
      </c>
      <c r="F14" s="86" t="n">
        <v>0.5</v>
      </c>
      <c r="G14" s="85" t="n"/>
      <c r="H14" s="85" t="n"/>
      <c r="I14" s="85" t="n"/>
      <c r="J14" s="76">
        <f>IF(OR(A14="",G14=""),"",IF(G14-C14-D14&lt;0,"збиток",(G14-C14-D14)*(1-F14)))</f>
        <v/>
      </c>
      <c r="K14" s="76">
        <f>IF(OR(A14="",H14=""),"",IF(H14-C14-D14&lt;0,"збиток",(H14-C14-D14)*(1-F14)))</f>
        <v/>
      </c>
      <c r="L14" s="76">
        <f>IF(OR(A14="",I14=""),"",IF(I14-C14-D14&lt;0,"збиток",(I14-C14-D14)*(1-F14)))</f>
        <v/>
      </c>
      <c r="M14" s="76">
        <f>IF(OR(A14="",H14=""),"",IF(H14-C14-D14&lt;0,"збиток",C14+F14*(H14-C14-D14)))</f>
        <v/>
      </c>
      <c r="N14" s="76">
        <f>IF(OR(E14="",E14=0,M14=""),"",IF(ISNUMBER(M14),M14/E14,"збиток"))</f>
        <v/>
      </c>
    </row>
    <row r="15" ht="15" customHeight="1" s="49">
      <c r="A15" s="80">
        <f>Номенклатура!A13</f>
        <v/>
      </c>
      <c r="B15" s="80">
        <f>IF(A15="","",Номенклатура!B13)</f>
        <v/>
      </c>
      <c r="C15" s="76">
        <f>IF(A15="","",Номенклатура!K13)</f>
        <v/>
      </c>
      <c r="D15" s="85" t="n"/>
      <c r="E15" s="80">
        <f>IF(A15="","",Номенклатура!G13)</f>
        <v/>
      </c>
      <c r="F15" s="86" t="n">
        <v>0.5</v>
      </c>
      <c r="G15" s="85" t="n"/>
      <c r="H15" s="85" t="n"/>
      <c r="I15" s="85" t="n"/>
      <c r="J15" s="76">
        <f>IF(OR(A15="",G15=""),"",IF(G15-C15-D15&lt;0,"збиток",(G15-C15-D15)*(1-F15)))</f>
        <v/>
      </c>
      <c r="K15" s="76">
        <f>IF(OR(A15="",H15=""),"",IF(H15-C15-D15&lt;0,"збиток",(H15-C15-D15)*(1-F15)))</f>
        <v/>
      </c>
      <c r="L15" s="76">
        <f>IF(OR(A15="",I15=""),"",IF(I15-C15-D15&lt;0,"збиток",(I15-C15-D15)*(1-F15)))</f>
        <v/>
      </c>
      <c r="M15" s="76">
        <f>IF(OR(A15="",H15=""),"",IF(H15-C15-D15&lt;0,"збиток",C15+F15*(H15-C15-D15)))</f>
        <v/>
      </c>
      <c r="N15" s="76">
        <f>IF(OR(E15="",E15=0,M15=""),"",IF(ISNUMBER(M15),M15/E15,"збиток"))</f>
        <v/>
      </c>
    </row>
    <row r="16" ht="15" customHeight="1" s="49">
      <c r="A16" s="80">
        <f>Номенклатура!A14</f>
        <v/>
      </c>
      <c r="B16" s="80">
        <f>IF(A16="","",Номенклатура!B14)</f>
        <v/>
      </c>
      <c r="C16" s="76">
        <f>IF(A16="","",Номенклатура!K14)</f>
        <v/>
      </c>
      <c r="D16" s="85" t="n"/>
      <c r="E16" s="80">
        <f>IF(A16="","",Номенклатура!G14)</f>
        <v/>
      </c>
      <c r="F16" s="86" t="n">
        <v>0.5</v>
      </c>
      <c r="G16" s="85" t="n"/>
      <c r="H16" s="85" t="n"/>
      <c r="I16" s="85" t="n"/>
      <c r="J16" s="76">
        <f>IF(OR(A16="",G16=""),"",IF(G16-C16-D16&lt;0,"збиток",(G16-C16-D16)*(1-F16)))</f>
        <v/>
      </c>
      <c r="K16" s="76">
        <f>IF(OR(A16="",H16=""),"",IF(H16-C16-D16&lt;0,"збиток",(H16-C16-D16)*(1-F16)))</f>
        <v/>
      </c>
      <c r="L16" s="76">
        <f>IF(OR(A16="",I16=""),"",IF(I16-C16-D16&lt;0,"збиток",(I16-C16-D16)*(1-F16)))</f>
        <v/>
      </c>
      <c r="M16" s="76">
        <f>IF(OR(A16="",H16=""),"",IF(H16-C16-D16&lt;0,"збиток",C16+F16*(H16-C16-D16)))</f>
        <v/>
      </c>
      <c r="N16" s="76">
        <f>IF(OR(E16="",E16=0,M16=""),"",IF(ISNUMBER(M16),M16/E16,"збиток"))</f>
        <v/>
      </c>
    </row>
    <row r="17" ht="15" customHeight="1" s="49">
      <c r="A17" s="80">
        <f>Номенклатура!A15</f>
        <v/>
      </c>
      <c r="B17" s="80">
        <f>IF(A17="","",Номенклатура!B15)</f>
        <v/>
      </c>
      <c r="C17" s="76">
        <f>IF(A17="","",Номенклатура!K15)</f>
        <v/>
      </c>
      <c r="D17" s="85" t="n"/>
      <c r="E17" s="80">
        <f>IF(A17="","",Номенклатура!G15)</f>
        <v/>
      </c>
      <c r="F17" s="86" t="n">
        <v>0.5</v>
      </c>
      <c r="G17" s="85" t="n"/>
      <c r="H17" s="85" t="n"/>
      <c r="I17" s="85" t="n"/>
      <c r="J17" s="76">
        <f>IF(OR(A17="",G17=""),"",IF(G17-C17-D17&lt;0,"збиток",(G17-C17-D17)*(1-F17)))</f>
        <v/>
      </c>
      <c r="K17" s="76">
        <f>IF(OR(A17="",H17=""),"",IF(H17-C17-D17&lt;0,"збиток",(H17-C17-D17)*(1-F17)))</f>
        <v/>
      </c>
      <c r="L17" s="76">
        <f>IF(OR(A17="",I17=""),"",IF(I17-C17-D17&lt;0,"збиток",(I17-C17-D17)*(1-F17)))</f>
        <v/>
      </c>
      <c r="M17" s="76">
        <f>IF(OR(A17="",H17=""),"",IF(H17-C17-D17&lt;0,"збиток",C17+F17*(H17-C17-D17)))</f>
        <v/>
      </c>
      <c r="N17" s="76">
        <f>IF(OR(E17="",E17=0,M17=""),"",IF(ISNUMBER(M17),M17/E17,"збиток"))</f>
        <v/>
      </c>
    </row>
    <row r="19" ht="17.35" customHeight="1" s="49">
      <c r="A19" s="50" t="inlineStr">
        <is>
          <t>Ринкові орієнтири (зовнішні дані) — оновлено 2026-07-29</t>
        </is>
      </c>
      <c r="G19" s="57" t="n"/>
    </row>
    <row r="20" ht="42" customHeight="1" s="49">
      <c r="A20" s="87" t="inlineStr">
        <is>
          <t>Дослідження 2026-07-29: 30 перевірених лотів (22 Prom.ua у грн, 9 Etsy у $; 1 Etsy-лот з попередньої перевірки 2026-07-28 знято з продажу — виключено). Це орієнтир по діапазону цін ринку, НЕ готова РРЦ — перед фіксацією РРЦ звірити із реальною собівартістю і часом друку Сергія на 3-5 власних SKU (задача 3D-P-003 лишається в статусі «в роботі» до цієї звірки).</t>
        </is>
      </c>
      <c r="G20" s="57" t="n"/>
    </row>
    <row r="21" ht="15" customHeight="1" s="49">
      <c r="A21" s="88" t="inlineStr">
        <is>
          <t>Джерело</t>
        </is>
      </c>
      <c r="B21" s="88" t="inlineStr">
        <is>
          <t>Товар</t>
        </is>
      </c>
      <c r="C21" s="88" t="inlineStr">
        <is>
          <t>Ціна</t>
        </is>
      </c>
      <c r="D21" s="88" t="inlineStr">
        <is>
          <t>Валюта</t>
        </is>
      </c>
      <c r="E21" s="88" t="inlineStr">
        <is>
          <t>Дата перевірки</t>
        </is>
      </c>
      <c r="F21" s="88" t="inlineStr">
        <is>
          <t>Посилання / примітка</t>
        </is>
      </c>
      <c r="G21" s="57" t="n"/>
    </row>
    <row r="22" ht="15" customHeight="1" s="49">
      <c r="A22" s="72" t="inlineStr">
        <is>
          <t>Prom.ua</t>
        </is>
      </c>
      <c r="B22" s="72" t="inlineStr">
        <is>
          <t>Фігурка Ведмідь Баар (гра), 110мм</t>
        </is>
      </c>
      <c r="C22" s="72" t="n">
        <v>160</v>
      </c>
      <c r="D22" s="72" t="inlineStr">
        <is>
          <t>UAH</t>
        </is>
      </c>
      <c r="E22" s="72" t="inlineStr">
        <is>
          <t>prom.ua/ua/m597215714077015821 — одноколірний PLA</t>
        </is>
      </c>
      <c r="F22" s="57" t="n"/>
      <c r="G22" s="57" t="n"/>
    </row>
    <row r="23" ht="15" customHeight="1" s="49">
      <c r="A23" s="72" t="inlineStr">
        <is>
          <t>Prom.ua</t>
        </is>
      </c>
      <c r="B23" s="72" t="inlineStr">
        <is>
          <t>Фігурка Аксолотль Майнкрафт, 8см</t>
        </is>
      </c>
      <c r="C23" s="72" t="n">
        <v>90</v>
      </c>
      <c r="D23" s="72" t="inlineStr">
        <is>
          <t>UAH</t>
        </is>
      </c>
      <c r="E23" s="72" t="inlineStr">
        <is>
          <t>prom.ua/ua/m-2537173792697582487</t>
        </is>
      </c>
      <c r="F23" s="57" t="n"/>
      <c r="G23" s="57" t="n"/>
    </row>
    <row r="24" ht="15" customHeight="1" s="49">
      <c r="A24" s="72" t="inlineStr">
        <is>
          <t>Prom.ua</t>
        </is>
      </c>
      <c r="B24" s="72" t="inlineStr">
        <is>
          <t>Рухлива фігурка Кіт з Сімс, шарнірна</t>
        </is>
      </c>
      <c r="C24" s="72" t="n">
        <v>200</v>
      </c>
      <c r="D24" s="72" t="inlineStr">
        <is>
          <t>UAH</t>
        </is>
      </c>
      <c r="E24" s="72" t="inlineStr">
        <is>
          <t>prom.ua/ua/m5293519234516252495</t>
        </is>
      </c>
      <c r="F24" s="57" t="n"/>
      <c r="G24" s="57" t="n"/>
    </row>
    <row r="25" ht="15" customHeight="1" s="49">
      <c r="A25" s="72" t="inlineStr">
        <is>
          <t>Prom.ua</t>
        </is>
      </c>
      <c r="B25" s="72" t="inlineStr">
        <is>
          <t>AC2 Брелок Порожній лицар (гра), keychain</t>
        </is>
      </c>
      <c r="C25" s="72" t="n">
        <v>178</v>
      </c>
      <c r="D25" s="72" t="inlineStr">
        <is>
          <t>UAH</t>
        </is>
      </c>
      <c r="E25" s="72" t="inlineStr">
        <is>
          <t>prom.ua/ua/p3132251578 — акція, було 187</t>
        </is>
      </c>
      <c r="F25" s="57" t="n"/>
      <c r="G25" s="57" t="n"/>
    </row>
    <row r="26" ht="15" customHeight="1" s="49">
      <c r="A26" s="72" t="inlineStr">
        <is>
          <t>Prom.ua</t>
        </is>
      </c>
      <c r="B26" s="72" t="inlineStr">
        <is>
          <t>AC2 Брелок «Як приручити дракона»</t>
        </is>
      </c>
      <c r="C26" s="72" t="n">
        <v>188</v>
      </c>
      <c r="D26" s="72" t="inlineStr">
        <is>
          <t>UAH</t>
        </is>
      </c>
      <c r="E26" s="72" t="inlineStr">
        <is>
          <t>prom.ua/ua/p3132248531 — акція, було 197</t>
        </is>
      </c>
      <c r="F26" s="57" t="n"/>
      <c r="G26" s="57" t="n"/>
    </row>
    <row r="27" ht="15" customHeight="1" s="49">
      <c r="A27" s="72" t="inlineStr">
        <is>
          <t>Prom.ua</t>
        </is>
      </c>
      <c r="B27" s="72" t="inlineStr">
        <is>
          <t>AC2 Фігурка-брелок K-Pop Derby</t>
        </is>
      </c>
      <c r="C27" s="72" t="n">
        <v>215</v>
      </c>
      <c r="D27" s="72" t="inlineStr">
        <is>
          <t>UAH</t>
        </is>
      </c>
      <c r="E27" s="72" t="inlineStr">
        <is>
          <t>prom.ua/ua/p3132251584 — акція, було 226</t>
        </is>
      </c>
      <c r="F27" s="57" t="n"/>
      <c r="G27" s="57" t="n"/>
    </row>
    <row r="28" ht="15" customHeight="1" s="49">
      <c r="A28" s="72" t="inlineStr">
        <is>
          <t>Prom.ua</t>
        </is>
      </c>
      <c r="B28" s="72" t="inlineStr">
        <is>
          <t>AC2 Брелок Соник</t>
        </is>
      </c>
      <c r="C28" s="72" t="n">
        <v>218</v>
      </c>
      <c r="D28" s="72" t="inlineStr">
        <is>
          <t>UAH</t>
        </is>
      </c>
      <c r="E28" s="72" t="inlineStr">
        <is>
          <t>prom.ua/ua/p3132251587 — акція, було 229</t>
        </is>
      </c>
      <c r="F28" s="57" t="n"/>
      <c r="G28" s="57" t="n"/>
    </row>
    <row r="29" ht="15" customHeight="1" s="49">
      <c r="A29" s="72" t="inlineStr">
        <is>
          <t>Prom.ua</t>
        </is>
      </c>
      <c r="B29" s="72" t="inlineStr">
        <is>
          <t>AC2 Фігурка-брелок K-Pop Zoe</t>
        </is>
      </c>
      <c r="C29" s="72" t="n">
        <v>227</v>
      </c>
      <c r="D29" s="72" t="inlineStr">
        <is>
          <t>UAH</t>
        </is>
      </c>
      <c r="E29" s="72" t="inlineStr">
        <is>
          <t>prom.ua/ua/p3132251582 — акція, було 238</t>
        </is>
      </c>
    </row>
    <row r="30" ht="15" customHeight="1" s="49">
      <c r="A30" s="72" t="inlineStr">
        <is>
          <t>Prom.ua</t>
        </is>
      </c>
      <c r="B30" s="72" t="inlineStr">
        <is>
          <t>Фігурка Аксолотль Майнкрафт, 16см</t>
        </is>
      </c>
      <c r="C30" s="72" t="n">
        <v>250</v>
      </c>
      <c r="D30" s="72" t="inlineStr">
        <is>
          <t>UAH</t>
        </is>
      </c>
      <c r="E30" s="72" t="inlineStr">
        <is>
          <t>prom.ua/ua/m7736287518879278678</t>
        </is>
      </c>
    </row>
    <row r="31" ht="15" customHeight="1" s="49">
      <c r="A31" s="72" t="inlineStr">
        <is>
          <t>Prom.ua</t>
        </is>
      </c>
      <c r="B31" s="72" t="inlineStr">
        <is>
          <t>Фігурка Прототип Poppy Playtime Ch5, кольоровий</t>
        </is>
      </c>
      <c r="C31" s="72" t="n">
        <v>250</v>
      </c>
      <c r="D31" s="72" t="inlineStr">
        <is>
          <t>UAH</t>
        </is>
      </c>
      <c r="E31" s="72" t="inlineStr">
        <is>
          <t>prom.ua/ua/m6175503276994557169</t>
        </is>
      </c>
    </row>
    <row r="32" ht="15" customHeight="1" s="49">
      <c r="A32" s="72" t="inlineStr">
        <is>
          <t>Prom.ua</t>
        </is>
      </c>
      <c r="B32" s="72" t="inlineStr">
        <is>
          <t>Іграшка Six Seven, шарнірна, 12см</t>
        </is>
      </c>
      <c r="C32" s="72" t="n">
        <v>275</v>
      </c>
      <c r="D32" s="72" t="inlineStr">
        <is>
          <t>UAH</t>
        </is>
      </c>
      <c r="E32" s="72" t="inlineStr">
        <is>
          <t>prom.ua/ua/m-3682311495060361450 — акція, було 550</t>
        </is>
      </c>
    </row>
    <row r="33" ht="15" customHeight="1" s="49">
      <c r="A33" s="72" t="inlineStr">
        <is>
          <t>Prom.ua</t>
        </is>
      </c>
      <c r="B33" s="72" t="inlineStr">
        <is>
          <t>Фігурка-антистрес Дракон рухомий, 20см</t>
        </is>
      </c>
      <c r="C33" s="72" t="n">
        <v>280</v>
      </c>
      <c r="D33" s="72" t="inlineStr">
        <is>
          <t>UAH</t>
        </is>
      </c>
      <c r="E33" s="72" t="inlineStr">
        <is>
          <t>prom.ua/ua/m-1307140614863278157</t>
        </is>
      </c>
    </row>
    <row r="34" ht="15" customHeight="1" s="49">
      <c r="A34" s="72" t="inlineStr">
        <is>
          <t>Prom.ua</t>
        </is>
      </c>
      <c r="B34" s="72" t="inlineStr">
        <is>
          <t>Дракон двоголовий рухомий, зелений</t>
        </is>
      </c>
      <c r="C34" s="72" t="n">
        <v>299</v>
      </c>
      <c r="D34" s="72" t="inlineStr">
        <is>
          <t>UAH</t>
        </is>
      </c>
      <c r="E34" s="72" t="inlineStr">
        <is>
          <t>prom.ua/ua/m1414416584216871649</t>
        </is>
      </c>
    </row>
    <row r="35" ht="15" customHeight="1" s="49">
      <c r="A35" s="72" t="inlineStr">
        <is>
          <t>Prom.ua</t>
        </is>
      </c>
      <c r="B35" s="72" t="inlineStr">
        <is>
          <t>Дракон «Як приборкати дракона», 20см</t>
        </is>
      </c>
      <c r="C35" s="72" t="n">
        <v>310</v>
      </c>
      <c r="D35" s="72" t="inlineStr">
        <is>
          <t>UAH</t>
        </is>
      </c>
      <c r="E35" s="72" t="inlineStr">
        <is>
          <t>prom.ua/ua/m4004498113737906325</t>
        </is>
      </c>
    </row>
    <row r="36" ht="15" customHeight="1" s="49">
      <c r="A36" s="72" t="inlineStr">
        <is>
          <t>Prom.ua</t>
        </is>
      </c>
      <c r="B36" s="72" t="inlineStr">
        <is>
          <t>«Тралалело» Halloween, PLA пластик</t>
        </is>
      </c>
      <c r="C36" s="72" t="n">
        <v>349</v>
      </c>
      <c r="D36" s="72" t="inlineStr">
        <is>
          <t>UAH</t>
        </is>
      </c>
      <c r="E36" s="72" t="inlineStr">
        <is>
          <t>prom.ua/ua/m5219681496225098941</t>
        </is>
      </c>
    </row>
    <row r="37" ht="15" customHeight="1" s="49">
      <c r="A37" s="72" t="inlineStr">
        <is>
          <t>Prom.ua</t>
        </is>
      </c>
      <c r="B37" s="72" t="inlineStr">
        <is>
          <t>Демогоргон Stranger Things, 12см</t>
        </is>
      </c>
      <c r="C37" s="72" t="n">
        <v>350</v>
      </c>
      <c r="D37" s="72" t="inlineStr">
        <is>
          <t>UAH</t>
        </is>
      </c>
      <c r="E37" s="72" t="inlineStr">
        <is>
          <t>prom.ua/ua/m307513552818336174</t>
        </is>
      </c>
    </row>
    <row r="38" ht="15" customHeight="1" s="49">
      <c r="A38" s="72" t="inlineStr">
        <is>
          <t>Prom.ua</t>
        </is>
      </c>
      <c r="B38" s="72" t="inlineStr">
        <is>
          <t>Колекційна фігурка «Лабубу»</t>
        </is>
      </c>
      <c r="C38" s="72" t="n">
        <v>380</v>
      </c>
      <c r="D38" s="72" t="inlineStr">
        <is>
          <t>UAH</t>
        </is>
      </c>
      <c r="E38" s="72" t="inlineStr">
        <is>
          <t>prom.ua/ua/m7060063882522451084</t>
        </is>
      </c>
    </row>
    <row r="39" ht="15" customHeight="1" s="49">
      <c r="A39" s="72" t="inlineStr">
        <is>
          <t>Prom.ua</t>
        </is>
      </c>
      <c r="B39" s="72" t="inlineStr">
        <is>
          <t>Фігурка Котик-діджей The Sims у навушниках</t>
        </is>
      </c>
      <c r="C39" s="72" t="n">
        <v>430</v>
      </c>
      <c r="D39" s="72" t="inlineStr">
        <is>
          <t>UAH</t>
        </is>
      </c>
      <c r="E39" s="72" t="inlineStr">
        <is>
          <t>prom.ua/ua/m-2710033301748773260</t>
        </is>
      </c>
    </row>
    <row r="40" ht="15" customHeight="1" s="49">
      <c r="A40" s="72" t="inlineStr">
        <is>
          <t>Prom.ua</t>
        </is>
      </c>
      <c r="B40" s="72" t="inlineStr">
        <is>
          <t>Комплект фігурок-охоронців Squid Game, 3 шт/компл.</t>
        </is>
      </c>
      <c r="C40" s="72" t="n">
        <v>450</v>
      </c>
      <c r="D40" s="72" t="inlineStr">
        <is>
          <t>UAH</t>
        </is>
      </c>
      <c r="E40" s="72" t="inlineStr">
        <is>
          <t>prom.ua/ua/m3765887112151365736 — ціна за комплект, не за од.</t>
        </is>
      </c>
    </row>
    <row r="41" ht="15" customHeight="1" s="49">
      <c r="A41" s="72" t="inlineStr">
        <is>
          <t>Prom.ua</t>
        </is>
      </c>
      <c r="B41" s="72" t="inlineStr">
        <is>
          <t>Набір фігурок Meccha Chameleon, 10 шт/компл.</t>
        </is>
      </c>
      <c r="C41" s="72" t="inlineStr">
        <is>
          <t>476,34</t>
        </is>
      </c>
      <c r="D41" s="72" t="inlineStr">
        <is>
          <t>UAH</t>
        </is>
      </c>
      <c r="E41" s="72" t="inlineStr">
        <is>
          <t>prom.ua/ua/m4244796096804350994 — акція, було 934; ціна за комплект</t>
        </is>
      </c>
    </row>
    <row r="42" ht="15" customHeight="1" s="49">
      <c r="A42" s="72" t="inlineStr">
        <is>
          <t>Prom.ua</t>
        </is>
      </c>
      <c r="B42" s="72" t="inlineStr">
        <is>
          <t>Реалістична фігурка Poppy Playtime, ручний розпис</t>
        </is>
      </c>
      <c r="C42" s="72" t="n">
        <v>500</v>
      </c>
      <c r="D42" s="72" t="inlineStr">
        <is>
          <t>UAH</t>
        </is>
      </c>
      <c r="E42" s="72" t="inlineStr">
        <is>
          <t>prom.ua/ua/m-8758516164790332419 — акція, було 350→ уточнити напрямок знижки</t>
        </is>
      </c>
    </row>
    <row r="43" ht="15" customHeight="1" s="49">
      <c r="A43" s="72" t="inlineStr">
        <is>
          <t>Prom.ua</t>
        </is>
      </c>
      <c r="B43" s="72" t="inlineStr">
        <is>
          <t>Колекційна фігурка Скелет Дракона, ручний розпис</t>
        </is>
      </c>
      <c r="C43" s="72" t="n">
        <v>1000</v>
      </c>
      <c r="D43" s="72" t="inlineStr">
        <is>
          <t>UAH</t>
        </is>
      </c>
      <c r="E43" s="72" t="inlineStr">
        <is>
          <t>prom.ua/ua/m-5160638727247461934 — декоративна статуетка</t>
        </is>
      </c>
    </row>
    <row r="44" ht="15" customHeight="1" s="49">
      <c r="A44" s="72" t="inlineStr">
        <is>
          <t>Prom.ua</t>
        </is>
      </c>
      <c r="B44" s="72" t="inlineStr">
        <is>
          <t>Фігурка на замовлення за фото, ручний розпис</t>
        </is>
      </c>
      <c r="C44" s="72" t="n">
        <v>3000</v>
      </c>
      <c r="D44" s="72" t="inlineStr">
        <is>
          <t>UAH</t>
        </is>
      </c>
      <c r="E44" s="72" t="inlineStr">
        <is>
          <t>prom.ua/ua/m6705495101661827516 — кастом+розпис, аутлаєр, не пряма аналогія</t>
        </is>
      </c>
    </row>
    <row r="45" ht="15" customHeight="1" s="49">
      <c r="A45" s="72" t="inlineStr">
        <is>
          <t>Etsy</t>
        </is>
      </c>
      <c r="B45" s="72" t="inlineStr">
        <is>
          <t>3D Printed Pokemon Figurines — Made to Order (Pooch3Prints)</t>
        </is>
      </c>
      <c r="C45" s="72" t="n">
        <v>5</v>
      </c>
      <c r="D45" s="72" t="inlineStr">
        <is>
          <t>USD</t>
        </is>
      </c>
      <c r="E45" s="72" t="inlineStr">
        <is>
          <t>etsy.com/listing/... — одноколірний PLA, без відгуків</t>
        </is>
      </c>
    </row>
    <row r="46" ht="15" customHeight="1" s="49">
      <c r="A46" s="72" t="inlineStr">
        <is>
          <t>Etsy</t>
        </is>
      </c>
      <c r="B46" s="72" t="inlineStr">
        <is>
          <t>Sprite Gaming Collectible Figure, PLA</t>
        </is>
      </c>
      <c r="C46" s="72" t="n">
        <v>5.59</v>
      </c>
      <c r="D46" s="72" t="inlineStr">
        <is>
          <t>USD</t>
        </is>
      </c>
      <c r="E46" s="72" t="inlineStr">
        <is>
          <t>similar-items — акція, було 6.99</t>
        </is>
      </c>
    </row>
    <row r="47" ht="15" customHeight="1" s="49">
      <c r="A47" s="72" t="inlineStr">
        <is>
          <t>Etsy</t>
        </is>
      </c>
      <c r="B47" s="72" t="inlineStr">
        <is>
          <t>Fort Sprite Figure — Collectible Game Sprite Statue / keychain</t>
        </is>
      </c>
      <c r="C47" s="72" t="n">
        <v>5.59</v>
      </c>
      <c r="D47" s="72" t="inlineStr">
        <is>
          <t>USD</t>
        </is>
      </c>
      <c r="E47" s="72" t="inlineStr">
        <is>
          <t>similar-items — акція, було 6.99</t>
        </is>
      </c>
    </row>
    <row r="48" ht="15" customHeight="1" s="49">
      <c r="A48" s="72" t="inlineStr">
        <is>
          <t>Etsy</t>
        </is>
      </c>
      <c r="B48" s="72" t="inlineStr">
        <is>
          <t>Hand-Painted Rocky Figure (Project Hail Mary)</t>
        </is>
      </c>
      <c r="C48" s="72" t="n">
        <v>18.1</v>
      </c>
      <c r="D48" s="72" t="inlineStr">
        <is>
          <t>USD</t>
        </is>
      </c>
      <c r="E48" s="72" t="inlineStr">
        <is>
          <t>similar-items — акція, було 22.62, ручний розпис</t>
        </is>
      </c>
    </row>
    <row r="49" ht="15" customHeight="1" s="49">
      <c r="A49" s="72" t="inlineStr">
        <is>
          <t>Etsy</t>
        </is>
      </c>
      <c r="B49" s="72" t="inlineStr">
        <is>
          <t>3D Printed Mimikyu Pokémon Figurine, ручний розпис</t>
        </is>
      </c>
      <c r="C49" s="72" t="n">
        <v>27.5</v>
      </c>
      <c r="D49" s="72" t="inlineStr">
        <is>
          <t>USD</t>
        </is>
      </c>
      <c r="E49" s="72" t="inlineStr">
        <is>
          <t>etsy.com/listing/1294929392 — перевірено 2026-07-28</t>
        </is>
      </c>
    </row>
    <row r="50" ht="15" customHeight="1" s="49">
      <c r="A50" s="72" t="inlineStr">
        <is>
          <t>Etsy</t>
        </is>
      </c>
      <c r="B50" s="72" t="inlineStr">
        <is>
          <t>Articulated Multicolor Crystal Dragon Figurine</t>
        </is>
      </c>
      <c r="C50" s="72" t="n">
        <v>27.99</v>
      </c>
      <c r="D50" s="72" t="inlineStr">
        <is>
          <t>USD</t>
        </is>
      </c>
      <c r="E50" s="72" t="inlineStr">
        <is>
          <t>similar-items — шарнірна, багатоколірна</t>
        </is>
      </c>
    </row>
    <row r="51" ht="15" customHeight="1" s="49">
      <c r="A51" s="72" t="inlineStr">
        <is>
          <t>Etsy</t>
        </is>
      </c>
      <c r="B51" s="72" t="inlineStr">
        <is>
          <t>Star Fox Arwing Model Display Stand</t>
        </is>
      </c>
      <c r="C51" s="72" t="n">
        <v>29.98</v>
      </c>
      <c r="D51" s="72" t="inlineStr">
        <is>
          <t>USD</t>
        </is>
      </c>
      <c r="E51" s="72" t="inlineStr">
        <is>
          <t>similar-items</t>
        </is>
      </c>
    </row>
    <row r="52" ht="15" customHeight="1" s="49">
      <c r="A52" s="72" t="inlineStr">
        <is>
          <t>Etsy</t>
        </is>
      </c>
      <c r="B52" s="72" t="inlineStr">
        <is>
          <t>TMNT Sewer Diorama, Collectors Display</t>
        </is>
      </c>
      <c r="C52" s="72" t="n">
        <v>60</v>
      </c>
      <c r="D52" s="72" t="inlineStr">
        <is>
          <t>USD</t>
        </is>
      </c>
      <c r="E52" s="72" t="inlineStr">
        <is>
          <t>similar-items — велика діорама, не одинична фігурка</t>
        </is>
      </c>
    </row>
    <row r="53" ht="15" customHeight="1" s="49">
      <c r="A53" s="72" t="inlineStr">
        <is>
          <t>Etsy</t>
        </is>
      </c>
      <c r="B53" s="72" t="inlineStr">
        <is>
          <t>Custom 3D Printed Storm Chasing Vehicle Model</t>
        </is>
      </c>
      <c r="C53" s="72" t="n">
        <v>67.5</v>
      </c>
      <c r="D53" s="72" t="inlineStr">
        <is>
          <t>USD</t>
        </is>
      </c>
      <c r="E53" s="72" t="inlineStr">
        <is>
          <t>similar-items — акція, було 90, кастомна велика модель</t>
        </is>
      </c>
    </row>
    <row r="55" ht="42" customHeight="1" s="49">
      <c r="A55" s="89" t="inlineStr">
        <is>
          <t>Виключено (перевірено, але непридатне): Etsy «Pokemon 3D Printed Unpainted Figures Kanto Starters» — лот знято з продажу («item unavailable»); Prom.ua p925737942-druk.html — за посиланням із пошукового сніпета виявилась категорія поліграфічних послуг (друк візиток), а не 3D-друк фігурок — хибний збіг, дані не використано.</t>
        </is>
      </c>
    </row>
    <row r="57" ht="17.35" customHeight="1" s="49">
      <c r="A57" s="50" t="inlineStr">
        <is>
          <t>Підсумок для РРЦ (орієнтовно, не остаточне рішення)</t>
        </is>
      </c>
    </row>
    <row r="58" ht="25.5" customHeight="1" s="49">
      <c r="A58" s="54" t="inlineStr">
        <is>
          <t>• Брелок / малий формат (5-8 см, одноколірний PLA): 160-230 грн, медіана ≈ 200 грн (6 лотів Prom.ua).</t>
        </is>
      </c>
    </row>
    <row r="59" ht="25.5" customHeight="1" s="49">
      <c r="A59" s="54" t="inlineStr">
        <is>
          <t>• Фігурка середнього розміру (8-16 см, одноколірна/кольорова, без ручного розпису): 200-430 грн, медіана ≈ 299 грн (11 лотів Prom.ua).</t>
        </is>
      </c>
    </row>
    <row r="60" ht="25.5" customHeight="1" s="49">
      <c r="A60" s="54" t="inlineStr">
        <is>
          <t>• Ручний розпис / декоративна статуетка (вищий сегмент): 500-3000 грн — заявляти лише якщо Сергій реально фарбує вручну.</t>
        </is>
      </c>
    </row>
    <row r="61" ht="25.5" customHeight="1" s="49">
      <c r="A61" s="54" t="inlineStr">
        <is>
          <t>• Комплект з кількох фігурок: 290-934 грн за комплект (не за одиницю) — рахувати ціну за штуку окремо.</t>
        </is>
      </c>
    </row>
    <row r="62" ht="25.5" customHeight="1" s="49">
      <c r="A62" s="54" t="inlineStr">
        <is>
          <t>• Etsy (долар, довідково для експортного/преміум орієнтиру, НЕ база для грн РРЦ): просте одноколірне 5.00-9.99 $; з ручним розписом/деталізацією 18-30 $; великі/кастомні 60-90 $.</t>
        </is>
      </c>
    </row>
    <row r="63" ht="25.5" customHeight="1" s="49">
      <c r="A63" s="54" t="inlineStr">
        <is>
          <t>• Онікс-приклад Сергія (кулон/брелок з фото 2026-07-28) найближче лягає в діапазон «Брелок / малий формат» вище — попередній орієнтир 160-230 грн до перевірки на реальній собівартості.</t>
        </is>
      </c>
    </row>
  </sheetData>
  <mergeCells count="11">
    <mergeCell ref="A57:F57"/>
    <mergeCell ref="A63:F63"/>
    <mergeCell ref="A60:F60"/>
    <mergeCell ref="A19:F19"/>
    <mergeCell ref="A61:F61"/>
    <mergeCell ref="A58:F58"/>
    <mergeCell ref="A62:F62"/>
    <mergeCell ref="A20:F20"/>
    <mergeCell ref="A55:F55"/>
    <mergeCell ref="A59:F59"/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2026-07-29T03:27:18Z</dcterms:created>
  <dcterms:modified xmlns:dcterms="http://purl.org/dc/terms/" xmlns:xsi="http://www.w3.org/2001/XMLSchema-instance" xsi:type="dcterms:W3CDTF">2026-07-31T09:50:21Z</dcterms:modified>
  <cp:revision>0</cp:revision>
</cp:coreProperties>
</file>