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Номенклатура" sheetId="2" state="visible" r:id="rId4"/>
    <sheet name="Друк-лог" sheetId="3" state="visible" r:id="rId5"/>
    <sheet name="Продажі" sheetId="4" state="visible" r:id="rId6"/>
    <sheet name="Маркетингові_плюшки" sheetId="5" state="visible" r:id="rId7"/>
    <sheet name="Наявність" sheetId="6" state="visible" r:id="rId8"/>
    <sheet name="Аналітик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<sst xmlns="http://schemas.openxmlformats.org/spreadsheetml/2006/main" count="174" uniqueCount="121">
  <si>
    <t xml:space="preserve">3D-Print — номенклатура, собівартість, РРЦ, продажі, наявність</t>
  </si>
  <si>
    <t xml:space="preserve">v1 · чорновий робочий файл · 2026-07-28 · пов'язана задача 3D-P-001</t>
  </si>
  <si>
    <t xml:space="preserve">Що це за файл</t>
  </si>
  <si>
    <t xml:space="preserve">Робочий облік нового напрямку — 3D-друковані фігурки та аксесури для ККГ, які друкує партнер («Друг»). Окремий файл, поки НЕ підключений до основної CRM/дашборду Booster Shop. Синхронізація з CRM — окрема майбутня фаза (задача 3D-P-005), не робити вручну формулами-посиланнями на зовнішні файли.</t>
  </si>
  <si>
    <t xml:space="preserve">Два треки — рахуються по-різному</t>
  </si>
  <si>
    <t xml:space="preserve">1) «Продаж на сайті» (вкладка Продажі)</t>
  </si>
  <si>
    <t xml:space="preserve">Друг друкує, товар йде в каталог Booster Shop; Друг отримує % від ціни продажу. Собівартість = лише матеріал.</t>
  </si>
  <si>
    <t xml:space="preserve">2) «Маркетингова плюшка» (вкладка Маркетингові_плюшки)</t>
  </si>
  <si>
    <t xml:space="preserve">Власник купує готовий виріб у Друга за мінімальною націнкою і додає безкоштовно у великі замовлення. Витрата = закупівельна ціна, товар не продається окремо.</t>
  </si>
  <si>
    <t xml:space="preserve">Хто що заповнює</t>
  </si>
  <si>
    <t xml:space="preserve">Друг</t>
  </si>
  <si>
    <t xml:space="preserve">Номенклатура: колонки G–L (час друку, матеріал, витрата, ціна матеріалу/кг, дата, примітки). Друк-лог: усі колонки (кожен друк — окремий рядок).</t>
  </si>
  <si>
    <t xml:space="preserve">Власник</t>
  </si>
  <si>
    <t xml:space="preserve">Номенклатура: колонки A–F (SKU, назва, франшиза, тип, трек, статус). Продажі. Маркетингові_плюшки. Аналітика: сценарії РРЦ та % Другу.</t>
  </si>
  <si>
    <t xml:space="preserve">Обидва (за домовленістю)</t>
  </si>
  <si>
    <t xml:space="preserve">Можна заповнювати Друк-лог і Продажі спільно — головне не редагувати одну клітинку одночасно.</t>
  </si>
  <si>
    <t xml:space="preserve">Ніхто вручну</t>
  </si>
  <si>
    <t xml:space="preserve">Наявність — рахується автоматично формулами з інших вкладок. Не вводити туди числа руками.</t>
  </si>
  <si>
    <t xml:space="preserve">Колірний код</t>
  </si>
  <si>
    <t xml:space="preserve">Синій текст</t>
  </si>
  <si>
    <t xml:space="preserve">Клітинка для ручного вводу</t>
  </si>
  <si>
    <t xml:space="preserve">Чорний текст</t>
  </si>
  <si>
    <t xml:space="preserve">Формула — не змінювати вручну</t>
  </si>
  <si>
    <t xml:space="preserve">Жовта заливка</t>
  </si>
  <si>
    <t xml:space="preserve">Ключове припущення / потрібне рішення власника</t>
  </si>
  <si>
    <t xml:space="preserve">Сірий курсив</t>
  </si>
  <si>
    <t xml:space="preserve">Приклад / референс-рядок — замінити реальними даними</t>
  </si>
  <si>
    <t xml:space="preserve">Відомі відкриті питання (станом на 2026-07-28)</t>
  </si>
  <si>
    <t xml:space="preserve">• Остаточний % Другу за трек «Продаж на сайті» — попередньо погоджено, не зафіксовано.</t>
  </si>
  <si>
    <t xml:space="preserve">• Закупівельна ціна за трек «Маркетингова плюшка» — «мінімальна націнка», конкретна сума не визначена.</t>
  </si>
  <si>
    <t xml:space="preserve">• Поріг суми замовлення, з якого йде безкоштовна плюшка — не визначено (вкладка Аналітика, жовта клітинка).</t>
  </si>
  <si>
    <t xml:space="preserve">• РРЦ-сценарії на вкладці Аналітика — orientovні; знайдено лише 1 перевірений ринковий приклад (див. Аналітика, розділ «Ринкові орієнтири»). Потрібне окреме дослідження (задача 3D-P-003) перед фінальним рішенням.</t>
  </si>
  <si>
    <t xml:space="preserve">• Категорія каталогу для фігурок ще не створена в OpenCart — рішення власника, див. план 3D-P-002.</t>
  </si>
  <si>
    <t xml:space="preserve">SKU</t>
  </si>
  <si>
    <t xml:space="preserve">Назва виробу</t>
  </si>
  <si>
    <t xml:space="preserve">Франшиза</t>
  </si>
  <si>
    <t xml:space="preserve">Тип</t>
  </si>
  <si>
    <t xml:space="preserve">Трек</t>
  </si>
  <si>
    <t xml:space="preserve">Статус</t>
  </si>
  <si>
    <t xml:space="preserve">Час друку, год</t>
  </si>
  <si>
    <t xml:space="preserve">Матеріал (пластик)</t>
  </si>
  <si>
    <t xml:space="preserve">Витрата матеріалу, г</t>
  </si>
  <si>
    <t xml:space="preserve">Ціна матеріалу, грн/кг</t>
  </si>
  <si>
    <t xml:space="preserve">Собівартість матеріалу, грн</t>
  </si>
  <si>
    <t xml:space="preserve">Дата оновлення</t>
  </si>
  <si>
    <t xml:space="preserve">Примітки</t>
  </si>
  <si>
    <t xml:space="preserve">ПРИКЛАД-001</t>
  </si>
  <si>
    <t xml:space="preserve">Приклад розрахунку (ілюстративні цифри)</t>
  </si>
  <si>
    <t xml:space="preserve">—</t>
  </si>
  <si>
    <t xml:space="preserve">Фігурка</t>
  </si>
  <si>
    <t xml:space="preserve">Продаж на сайті</t>
  </si>
  <si>
    <t xml:space="preserve">ПРИКЛАД — видалити</t>
  </si>
  <si>
    <t xml:space="preserve">PLA</t>
  </si>
  <si>
    <t xml:space="preserve">2026-07-28</t>
  </si>
  <si>
    <t xml:space="preserve">Ілюстративні цифри лише для перевірки формул. Замініть/видаліть перед використанням.</t>
  </si>
  <si>
    <t xml:space="preserve">(призначити SKU)</t>
  </si>
  <si>
    <t xml:space="preserve">Фігурка Пікачу (сидить, стиль манги)</t>
  </si>
  <si>
    <t xml:space="preserve">Pokémon</t>
  </si>
  <si>
    <t xml:space="preserve">Референс із фото власника — ще не надруковано Другом</t>
  </si>
  <si>
    <t xml:space="preserve">Товар з референс-фото у чаті 2026-07-28, конкретні товари узгоджуються з Другом окремо</t>
  </si>
  <si>
    <t xml:space="preserve">Фігурка Генгар</t>
  </si>
  <si>
    <t xml:space="preserve">Кейс-покебол «Мяу» (Mew) з хвостом</t>
  </si>
  <si>
    <t xml:space="preserve">Функціональний аксесуар</t>
  </si>
  <si>
    <t xml:space="preserve">Підставка-олівниця «Дітто» (Ditto)</t>
  </si>
  <si>
    <t xml:space="preserve">Дек-бокс «Покебол» (набір кольорів)</t>
  </si>
  <si>
    <t xml:space="preserve">Брелок/фігурка «Онікс» (Onix)</t>
  </si>
  <si>
    <t xml:space="preserve">Фігурка Пікачу «крізь стіну» (декор)</t>
  </si>
  <si>
    <t xml:space="preserve">Дата</t>
  </si>
  <si>
    <t xml:space="preserve">Надруковано, шт</t>
  </si>
  <si>
    <t xml:space="preserve">Час друку факт, год</t>
  </si>
  <si>
    <t xml:space="preserve">Брак/відходи, шт</t>
  </si>
  <si>
    <t xml:space="preserve">Витрачено матеріалу, г (факт)</t>
  </si>
  <si>
    <t xml:space="preserve">Собівартість партії, грн</t>
  </si>
  <si>
    <t xml:space="preserve">Хто друкував</t>
  </si>
  <si>
    <t xml:space="preserve">2026-07-20</t>
  </si>
  <si>
    <t xml:space="preserve">приклад — видалити</t>
  </si>
  <si>
    <t xml:space="preserve">Назва</t>
  </si>
  <si>
    <t xml:space="preserve">Кількість</t>
  </si>
  <si>
    <t xml:space="preserve">РРЦ за од., грн</t>
  </si>
  <si>
    <t xml:space="preserve">Собівартість матеріалу за од., грн</t>
  </si>
  <si>
    <t xml:space="preserve">% Другу</t>
  </si>
  <si>
    <t xml:space="preserve">Виплата Другу, грн</t>
  </si>
  <si>
    <t xml:space="preserve">Дохід Booster Shop, грн</t>
  </si>
  <si>
    <t xml:space="preserve">Канал</t>
  </si>
  <si>
    <t xml:space="preserve">№ замовлення</t>
  </si>
  <si>
    <t xml:space="preserve">2026-07-25</t>
  </si>
  <si>
    <t xml:space="preserve">Сайт</t>
  </si>
  <si>
    <t xml:space="preserve">приклад — видалити; % Другу і РРЦ тут довільні, не рішення власника</t>
  </si>
  <si>
    <t xml:space="preserve">Закуплено в Друга, шт</t>
  </si>
  <si>
    <t xml:space="preserve">Ціна закупівлі за од., грн</t>
  </si>
  <si>
    <t xml:space="preserve">Сума закупівлі, грн</t>
  </si>
  <si>
    <t xml:space="preserve">Видано як бонус, шт</t>
  </si>
  <si>
    <t xml:space="preserve">До замовлення №</t>
  </si>
  <si>
    <t xml:space="preserve">Поріг замовлення для безкоштовної плюшки:</t>
  </si>
  <si>
    <t xml:space="preserve">← ввести суму, рішення власника (задача 3D-P-004)</t>
  </si>
  <si>
    <t xml:space="preserve">2026-07-26</t>
  </si>
  <si>
    <t xml:space="preserve">Надруковано всього, шт</t>
  </si>
  <si>
    <t xml:space="preserve">Брак всього, шт</t>
  </si>
  <si>
    <t xml:space="preserve">Продано на сайті, шт</t>
  </si>
  <si>
    <t xml:space="preserve">Видано як плюшка, шт</t>
  </si>
  <si>
    <t xml:space="preserve">Наявно зараз, шт</t>
  </si>
  <si>
    <t xml:space="preserve">Маржа-калькулятор по SKU (сценарії РРЦ)</t>
  </si>
  <si>
    <t xml:space="preserve">РРЦ Консервативний</t>
  </si>
  <si>
    <t xml:space="preserve">РРЦ Середній</t>
  </si>
  <si>
    <t xml:space="preserve">РРЦ Оптимістичний</t>
  </si>
  <si>
    <t xml:space="preserve">Маржа Консерв., грн</t>
  </si>
  <si>
    <t xml:space="preserve">Маржа Середня, грн</t>
  </si>
  <si>
    <t xml:space="preserve">Маржа Оптим., грн</t>
  </si>
  <si>
    <t xml:space="preserve">Маржа/год друку, грн</t>
  </si>
  <si>
    <t xml:space="preserve">Ринкові орієнтири (зовнішні дані)</t>
  </si>
  <si>
    <t xml:space="preserve">Лише 1 перевірений приклад станом на 2026-07-28 — недостатньо для встановлення РРЦ. Потрібно зібрати 10–15 порівнянних лотів (Etsy / Prom.ua / OLX) перед фінальним рішенням. Див. задачу 3D-P-003.</t>
  </si>
  <si>
    <t xml:space="preserve">Джерело</t>
  </si>
  <si>
    <t xml:space="preserve">Товар</t>
  </si>
  <si>
    <t xml:space="preserve">Ціна</t>
  </si>
  <si>
    <t xml:space="preserve">Валюта</t>
  </si>
  <si>
    <t xml:space="preserve">Дата перевірки</t>
  </si>
  <si>
    <t xml:space="preserve">Посилання / примітка</t>
  </si>
  <si>
    <t xml:space="preserve">Etsy</t>
  </si>
  <si>
    <t xml:space="preserve">3D Printed Mimikyu Pokémon Figurine, hand painted</t>
  </si>
  <si>
    <t xml:space="preserve">USD</t>
  </si>
  <si>
    <t xml:space="preserve">etsy.com/listing/1294929392 — 1 приклад, конвертація в грн за поточним курсом на дату перегляду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</si>
</sst>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грн&quot;"/>
    <numFmt numFmtId="166" formatCode="#,##0.00&quot; грн&quot;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54.7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5" t="s">
        <v>5</v>
      </c>
      <c r="B8" s="6" t="s">
        <v>6</v>
      </c>
    </row>
    <row r="9" customFormat="false" ht="35.05" hidden="false" customHeight="false" outlineLevel="0" collapsed="false">
      <c r="A9" s="5" t="s">
        <v>7</v>
      </c>
      <c r="B9" s="6" t="s">
        <v>8</v>
      </c>
    </row>
    <row r="11" customFormat="false" ht="15" hidden="false" customHeight="false" outlineLevel="0" collapsed="false">
      <c r="A11" s="3" t="s">
        <v>9</v>
      </c>
    </row>
    <row r="12" customFormat="false" ht="42" hidden="false" customHeight="true" outlineLevel="0" collapsed="false">
      <c r="A12" s="5" t="s">
        <v>10</v>
      </c>
      <c r="B12" s="4" t="s">
        <v>11</v>
      </c>
    </row>
    <row r="13" customFormat="false" ht="42" hidden="false" customHeight="true" outlineLevel="0" collapsed="false">
      <c r="A13" s="5" t="s">
        <v>12</v>
      </c>
      <c r="B13" s="4" t="s">
        <v>13</v>
      </c>
    </row>
    <row r="14" customFormat="false" ht="42" hidden="false" customHeight="true" outlineLevel="0" collapsed="false">
      <c r="A14" s="5" t="s">
        <v>14</v>
      </c>
      <c r="B14" s="4" t="s">
        <v>15</v>
      </c>
    </row>
    <row r="15" customFormat="false" ht="42" hidden="false" customHeight="true" outlineLevel="0" collapsed="false">
      <c r="A15" s="5" t="s">
        <v>16</v>
      </c>
      <c r="B15" s="4" t="s">
        <v>17</v>
      </c>
    </row>
    <row r="17" customFormat="false" ht="15" hidden="false" customHeight="false" outlineLevel="0" collapsed="false">
      <c r="A17" s="3" t="s">
        <v>18</v>
      </c>
    </row>
    <row r="18" customFormat="false" ht="15" hidden="false" customHeight="false" outlineLevel="0" collapsed="false">
      <c r="A18" s="7" t="s">
        <v>19</v>
      </c>
      <c r="B18" s="8" t="s">
        <v>20</v>
      </c>
    </row>
    <row r="19" customFormat="false" ht="15" hidden="false" customHeight="false" outlineLevel="0" collapsed="false">
      <c r="A19" s="9" t="s">
        <v>21</v>
      </c>
      <c r="B19" s="8" t="s">
        <v>22</v>
      </c>
    </row>
    <row r="20" customFormat="false" ht="15" hidden="false" customHeight="false" outlineLevel="0" collapsed="false">
      <c r="A20" s="10" t="s">
        <v>23</v>
      </c>
      <c r="B20" s="8" t="s">
        <v>24</v>
      </c>
    </row>
    <row r="21" customFormat="false" ht="15" hidden="false" customHeight="false" outlineLevel="0" collapsed="false">
      <c r="A21" s="11" t="s">
        <v>25</v>
      </c>
      <c r="B21" s="8" t="s">
        <v>26</v>
      </c>
    </row>
    <row r="23" customFormat="false" ht="15" hidden="false" customHeight="false" outlineLevel="0" collapsed="false">
      <c r="A23" s="3" t="s">
        <v>27</v>
      </c>
    </row>
    <row r="24" customFormat="false" ht="27.75" hidden="false" customHeight="true" outlineLevel="0" collapsed="false">
      <c r="A24" s="12" t="s">
        <v>28</v>
      </c>
      <c r="B24" s="12"/>
    </row>
    <row r="25" customFormat="false" ht="27.75" hidden="false" customHeight="true" outlineLevel="0" collapsed="false">
      <c r="A25" s="12" t="s">
        <v>29</v>
      </c>
      <c r="B25" s="12"/>
    </row>
    <row r="26" customFormat="false" ht="27.75" hidden="false" customHeight="true" outlineLevel="0" collapsed="false">
      <c r="A26" s="12" t="s">
        <v>30</v>
      </c>
      <c r="B26" s="12"/>
    </row>
    <row r="27" customFormat="false" ht="27.75" hidden="false" customHeight="true" outlineLevel="0" collapsed="false">
      <c r="A27" s="12" t="s">
        <v>31</v>
      </c>
      <c r="B27" s="12"/>
    </row>
    <row r="28" customFormat="false" ht="27.75" hidden="false" customHeight="true" outlineLevel="0" collapsed="false">
      <c r="A28" s="12" t="s">
        <v>32</v>
      </c>
      <c r="B28" s="12"/>
    </row>
  </sheetData>
  <mergeCells count="5">
    <mergeCell ref="A24:B24"/>
    <mergeCell ref="A25:B25"/>
    <mergeCell ref="A26:B26"/>
    <mergeCell ref="A27:B27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42"/>
  </cols>
  <sheetData>
    <row r="1" customFormat="false" ht="35.05" hidden="false" customHeight="false" outlineLevel="0" collapsed="false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41</v>
      </c>
      <c r="J1" s="13" t="s">
        <v>42</v>
      </c>
      <c r="K1" s="13" t="s">
        <v>43</v>
      </c>
      <c r="L1" s="13" t="s">
        <v>44</v>
      </c>
      <c r="M1" s="13" t="s">
        <v>45</v>
      </c>
    </row>
    <row r="2" customFormat="false" ht="15" hidden="false" customHeight="false" outlineLevel="0" collapsed="false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n">
        <v>4</v>
      </c>
      <c r="H2" s="14" t="s">
        <v>52</v>
      </c>
      <c r="I2" s="14" t="n">
        <v>120</v>
      </c>
      <c r="J2" s="15" t="n">
        <v>700</v>
      </c>
      <c r="K2" s="16" t="n">
        <f aca="false">I2*J2/1000</f>
        <v>84</v>
      </c>
      <c r="L2" s="14" t="s">
        <v>53</v>
      </c>
      <c r="M2" s="14" t="s">
        <v>54</v>
      </c>
    </row>
    <row r="3" customFormat="false" ht="23.85" hidden="false" customHeight="false" outlineLevel="0" collapsed="false">
      <c r="A3" s="14" t="s">
        <v>55</v>
      </c>
      <c r="B3" s="17" t="s">
        <v>56</v>
      </c>
      <c r="C3" s="17" t="s">
        <v>57</v>
      </c>
      <c r="D3" s="17" t="s">
        <v>49</v>
      </c>
      <c r="E3" s="18"/>
      <c r="F3" s="19" t="s">
        <v>58</v>
      </c>
      <c r="G3" s="20"/>
      <c r="H3" s="20"/>
      <c r="I3" s="20"/>
      <c r="J3" s="20"/>
      <c r="K3" s="21" t="str">
        <f aca="false">IF(I3="","",I3*J3/1000)</f>
        <v/>
      </c>
      <c r="L3" s="20"/>
      <c r="M3" s="22" t="s">
        <v>59</v>
      </c>
    </row>
    <row r="4" customFormat="false" ht="23.85" hidden="false" customHeight="false" outlineLevel="0" collapsed="false">
      <c r="A4" s="14" t="s">
        <v>55</v>
      </c>
      <c r="B4" s="17" t="s">
        <v>60</v>
      </c>
      <c r="C4" s="17" t="s">
        <v>57</v>
      </c>
      <c r="D4" s="17" t="s">
        <v>49</v>
      </c>
      <c r="E4" s="18"/>
      <c r="F4" s="19" t="s">
        <v>58</v>
      </c>
      <c r="G4" s="20"/>
      <c r="H4" s="20"/>
      <c r="I4" s="20"/>
      <c r="J4" s="20"/>
      <c r="K4" s="21" t="str">
        <f aca="false">IF(I4="","",I4*J4/1000)</f>
        <v/>
      </c>
      <c r="L4" s="20"/>
      <c r="M4" s="22" t="s">
        <v>59</v>
      </c>
    </row>
    <row r="5" customFormat="false" ht="23.85" hidden="false" customHeight="false" outlineLevel="0" collapsed="false">
      <c r="A5" s="14" t="s">
        <v>55</v>
      </c>
      <c r="B5" s="17" t="s">
        <v>61</v>
      </c>
      <c r="C5" s="17" t="s">
        <v>57</v>
      </c>
      <c r="D5" s="17" t="s">
        <v>62</v>
      </c>
      <c r="E5" s="18"/>
      <c r="F5" s="19" t="s">
        <v>58</v>
      </c>
      <c r="G5" s="20"/>
      <c r="H5" s="20"/>
      <c r="I5" s="20"/>
      <c r="J5" s="20"/>
      <c r="K5" s="21" t="str">
        <f aca="false">IF(I5="","",I5*J5/1000)</f>
        <v/>
      </c>
      <c r="L5" s="20"/>
      <c r="M5" s="22" t="s">
        <v>59</v>
      </c>
    </row>
    <row r="6" customFormat="false" ht="23.85" hidden="false" customHeight="false" outlineLevel="0" collapsed="false">
      <c r="A6" s="14" t="s">
        <v>55</v>
      </c>
      <c r="B6" s="17" t="s">
        <v>63</v>
      </c>
      <c r="C6" s="17" t="s">
        <v>57</v>
      </c>
      <c r="D6" s="17" t="s">
        <v>62</v>
      </c>
      <c r="E6" s="18"/>
      <c r="F6" s="19" t="s">
        <v>58</v>
      </c>
      <c r="G6" s="20"/>
      <c r="H6" s="20"/>
      <c r="I6" s="20"/>
      <c r="J6" s="20"/>
      <c r="K6" s="21" t="str">
        <f aca="false">IF(I6="","",I6*J6/1000)</f>
        <v/>
      </c>
      <c r="L6" s="20"/>
      <c r="M6" s="22" t="s">
        <v>59</v>
      </c>
    </row>
    <row r="7" customFormat="false" ht="23.85" hidden="false" customHeight="false" outlineLevel="0" collapsed="false">
      <c r="A7" s="14" t="s">
        <v>55</v>
      </c>
      <c r="B7" s="17" t="s">
        <v>64</v>
      </c>
      <c r="C7" s="17" t="s">
        <v>57</v>
      </c>
      <c r="D7" s="17" t="s">
        <v>62</v>
      </c>
      <c r="E7" s="18"/>
      <c r="F7" s="19" t="s">
        <v>58</v>
      </c>
      <c r="G7" s="20"/>
      <c r="H7" s="20"/>
      <c r="I7" s="20"/>
      <c r="J7" s="20"/>
      <c r="K7" s="21" t="str">
        <f aca="false">IF(I7="","",I7*J7/1000)</f>
        <v/>
      </c>
      <c r="L7" s="20"/>
      <c r="M7" s="22" t="s">
        <v>59</v>
      </c>
    </row>
    <row r="8" customFormat="false" ht="23.85" hidden="false" customHeight="false" outlineLevel="0" collapsed="false">
      <c r="A8" s="14" t="s">
        <v>55</v>
      </c>
      <c r="B8" s="17" t="s">
        <v>65</v>
      </c>
      <c r="C8" s="17" t="s">
        <v>57</v>
      </c>
      <c r="D8" s="17" t="s">
        <v>49</v>
      </c>
      <c r="E8" s="18"/>
      <c r="F8" s="19" t="s">
        <v>58</v>
      </c>
      <c r="G8" s="20"/>
      <c r="H8" s="20"/>
      <c r="I8" s="20"/>
      <c r="J8" s="20"/>
      <c r="K8" s="21" t="str">
        <f aca="false">IF(I8="","",I8*J8/1000)</f>
        <v/>
      </c>
      <c r="L8" s="20"/>
      <c r="M8" s="22" t="s">
        <v>59</v>
      </c>
    </row>
    <row r="9" customFormat="false" ht="23.85" hidden="false" customHeight="false" outlineLevel="0" collapsed="false">
      <c r="A9" s="14" t="s">
        <v>55</v>
      </c>
      <c r="B9" s="17" t="s">
        <v>66</v>
      </c>
      <c r="C9" s="17" t="s">
        <v>57</v>
      </c>
      <c r="D9" s="17" t="s">
        <v>49</v>
      </c>
      <c r="E9" s="18"/>
      <c r="F9" s="19" t="s">
        <v>58</v>
      </c>
      <c r="G9" s="20"/>
      <c r="H9" s="20"/>
      <c r="I9" s="20"/>
      <c r="J9" s="20"/>
      <c r="K9" s="21" t="str">
        <f aca="false">IF(I9="","",I9*J9/1000)</f>
        <v/>
      </c>
      <c r="L9" s="20"/>
      <c r="M9" s="22" t="s">
        <v>59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1" t="str">
        <f aca="false">IF(I10="","",I10*J10/1000)</f>
        <v/>
      </c>
      <c r="L10" s="23"/>
      <c r="M10" s="23"/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1" t="str">
        <f aca="false">IF(I11="","",I11*J11/1000)</f>
        <v/>
      </c>
      <c r="L11" s="23"/>
      <c r="M11" s="23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1" t="str">
        <f aca="false">IF(I12="","",I12*J12/1000)</f>
        <v/>
      </c>
      <c r="L12" s="23"/>
      <c r="M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1" t="str">
        <f aca="false">IF(I13="","",I13*J13/1000)</f>
        <v/>
      </c>
      <c r="L13" s="23"/>
      <c r="M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1" t="str">
        <f aca="false">IF(I14="","",I14*J14/1000)</f>
        <v/>
      </c>
      <c r="L14" s="23"/>
      <c r="M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1" t="str">
        <f aca="false">IF(I15="","",I15*J15/1000)</f>
        <v/>
      </c>
      <c r="L15" s="23"/>
      <c r="M15" s="23"/>
    </row>
  </sheetData>
  <dataValidations count="4">
    <dataValidation allowBlank="true" errorStyle="stop" operator="between" showDropDown="false" showErrorMessage="false" showInputMessage="false" sqref="C2:C200" type="list">
      <formula1>"Pokémon,One Piece,MTG,Yu-Gi-Oh!,Універсальний,Інше"</formula1>
      <formula2>0</formula2>
    </dataValidation>
    <dataValidation allowBlank="true" errorStyle="stop" operator="between" showDropDown="false" showErrorMessage="false" showInputMessage="false" sqref="D2:D200" type="list">
      <formula1>"Фігурка,Функціональний аксесуар,Інше"</formula1>
      <formula2>0</formula2>
    </dataValidation>
    <dataValidation allowBlank="true" errorStyle="stop" operator="between" showDropDown="false" showErrorMessage="false" showInputMessage="false" sqref="E2:E200" type="list">
      <formula1>"Продаж на сайті,Маркетингова плюшка,Тестовий зразок"</formula1>
      <formula2>0</formula2>
    </dataValidation>
    <dataValidation allowBlank="true" errorStyle="stop" operator="between" showDropDown="false" showErrorMessage="false" showInputMessage="false" sqref="F2:F200" type="list">
      <formula1>"У розробці,Тестовий друк,Готовий до продажу,Активний,Знятий з продажу,Референс"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23.85" hidden="false" customHeight="false" outlineLevel="0" collapsed="false">
      <c r="A1" s="13" t="s">
        <v>67</v>
      </c>
      <c r="B1" s="13" t="s">
        <v>33</v>
      </c>
      <c r="C1" s="13" t="s">
        <v>68</v>
      </c>
      <c r="D1" s="13" t="s">
        <v>69</v>
      </c>
      <c r="E1" s="13" t="s">
        <v>70</v>
      </c>
      <c r="F1" s="13" t="s">
        <v>71</v>
      </c>
      <c r="G1" s="13" t="s">
        <v>72</v>
      </c>
      <c r="H1" s="13" t="s">
        <v>73</v>
      </c>
      <c r="I1" s="13" t="s">
        <v>45</v>
      </c>
    </row>
    <row r="2" customFormat="false" ht="15" hidden="false" customHeight="false" outlineLevel="0" collapsed="false">
      <c r="A2" s="14" t="s">
        <v>74</v>
      </c>
      <c r="B2" s="14" t="s">
        <v>46</v>
      </c>
      <c r="C2" s="14" t="n">
        <v>5</v>
      </c>
      <c r="D2" s="14" t="n">
        <v>22</v>
      </c>
      <c r="E2" s="14" t="n">
        <v>1</v>
      </c>
      <c r="F2" s="14" t="n">
        <v>600</v>
      </c>
      <c r="G2" s="16" t="n">
        <f aca="false">IF(B2="","",C2*IFERROR(INDEX(Номенклатура!$K:$K,MATCH(B2,Номенклатура!$A:$A,0)),0))</f>
        <v>420</v>
      </c>
      <c r="H2" s="14" t="s">
        <v>10</v>
      </c>
      <c r="I2" s="14" t="s">
        <v>75</v>
      </c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1" t="str">
        <f aca="false">IF(B3="","",C3*IFERROR(INDEX(Номенклатура!$K:$K,MATCH(B3,Номенклатура!$A:$A,0)),0))</f>
        <v/>
      </c>
      <c r="H3" s="23"/>
      <c r="I3" s="23"/>
    </row>
    <row r="4" customFormat="false" ht="15" hidden="false" customHeight="false" outlineLevel="0" collapsed="false">
      <c r="A4" s="23"/>
      <c r="B4" s="23"/>
      <c r="C4" s="23"/>
      <c r="D4" s="23"/>
      <c r="E4" s="23"/>
      <c r="F4" s="23"/>
      <c r="G4" s="21" t="str">
        <f aca="false">IF(B4="","",C4*IFERROR(INDEX(Номенклатура!$K:$K,MATCH(B4,Номенклатура!$A:$A,0)),0))</f>
        <v/>
      </c>
      <c r="H4" s="23"/>
      <c r="I4" s="23"/>
    </row>
    <row r="5" customFormat="false" ht="15" hidden="false" customHeight="false" outlineLevel="0" collapsed="false">
      <c r="A5" s="23"/>
      <c r="B5" s="23"/>
      <c r="C5" s="23"/>
      <c r="D5" s="23"/>
      <c r="E5" s="23"/>
      <c r="F5" s="23"/>
      <c r="G5" s="21" t="str">
        <f aca="false">IF(B5="","",C5*IFERROR(INDEX(Номенклатура!$K:$K,MATCH(B5,Номенклатура!$A:$A,0)),0))</f>
        <v/>
      </c>
      <c r="H5" s="23"/>
      <c r="I5" s="23"/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1" t="str">
        <f aca="false">IF(B6="","",C6*IFERROR(INDEX(Номенклатура!$K:$K,MATCH(B6,Номенклатура!$A:$A,0)),0))</f>
        <v/>
      </c>
      <c r="H6" s="23"/>
      <c r="I6" s="23"/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1" t="str">
        <f aca="false">IF(B7="","",C7*IFERROR(INDEX(Номенклатура!$K:$K,MATCH(B7,Номенклатура!$A:$A,0)),0))</f>
        <v/>
      </c>
      <c r="H7" s="23"/>
      <c r="I7" s="23"/>
    </row>
    <row r="8" customFormat="false" ht="15" hidden="false" customHeight="false" outlineLevel="0" collapsed="false">
      <c r="A8" s="23"/>
      <c r="B8" s="23"/>
      <c r="C8" s="23"/>
      <c r="D8" s="23"/>
      <c r="E8" s="23"/>
      <c r="F8" s="23"/>
      <c r="G8" s="21" t="str">
        <f aca="false">IF(B8="","",C8*IFERROR(INDEX(Номенклатура!$K:$K,MATCH(B8,Номенклатура!$A:$A,0)),0))</f>
        <v/>
      </c>
      <c r="H8" s="23"/>
      <c r="I8" s="23"/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1" t="str">
        <f aca="false">IF(B9="","",C9*IFERROR(INDEX(Номенклатура!$K:$K,MATCH(B9,Номенклатура!$A:$A,0)),0))</f>
        <v/>
      </c>
      <c r="H9" s="23"/>
      <c r="I9" s="23"/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1" t="str">
        <f aca="false">IF(B10="","",C10*IFERROR(INDEX(Номенклатура!$K:$K,MATCH(B10,Номенклатура!$A:$A,0)),0))</f>
        <v/>
      </c>
      <c r="H10" s="23"/>
      <c r="I10" s="23"/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1" t="str">
        <f aca="false">IF(B11="","",C11*IFERROR(INDEX(Номенклатура!$K:$K,MATCH(B11,Номенклатура!$A:$A,0)),0))</f>
        <v/>
      </c>
      <c r="H11" s="23"/>
      <c r="I11" s="23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1" t="str">
        <f aca="false">IF(B12="","",C12*IFERROR(INDEX(Номенклатура!$K:$K,MATCH(B12,Номенклатура!$A:$A,0)),0))</f>
        <v/>
      </c>
      <c r="H12" s="23"/>
      <c r="I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1" t="str">
        <f aca="false">IF(B13="","",C13*IFERROR(INDEX(Номенклатура!$K:$K,MATCH(B13,Номенклатура!$A:$A,0)),0))</f>
        <v/>
      </c>
      <c r="H13" s="23"/>
      <c r="I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1" t="str">
        <f aca="false">IF(B14="","",C14*IFERROR(INDEX(Номенклатура!$K:$K,MATCH(B14,Номенклатура!$A:$A,0)),0))</f>
        <v/>
      </c>
      <c r="H14" s="23"/>
      <c r="I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1" t="str">
        <f aca="false">IF(B15="","",C15*IFERROR(INDEX(Номенклатура!$K:$K,MATCH(B15,Номенклатура!$A:$A,0)),0))</f>
        <v/>
      </c>
      <c r="H15" s="23"/>
      <c r="I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1" t="str">
        <f aca="false">IF(B16="","",C16*IFERROR(INDEX(Номенклатура!$K:$K,MATCH(B16,Номенклатура!$A:$A,0)),0))</f>
        <v/>
      </c>
      <c r="H16" s="23"/>
      <c r="I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1" t="str">
        <f aca="false">IF(B17="","",C17*IFERROR(INDEX(Номенклатура!$K:$K,MATCH(B17,Номенклатура!$A:$A,0)),0))</f>
        <v/>
      </c>
      <c r="H17" s="23"/>
      <c r="I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1" t="str">
        <f aca="false">IF(B18="","",C18*IFERROR(INDEX(Номенклатура!$K:$K,MATCH(B18,Номенклатура!$A:$A,0)),0))</f>
        <v/>
      </c>
      <c r="H18" s="23"/>
      <c r="I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1" t="str">
        <f aca="false">IF(B19="","",C19*IFERROR(INDEX(Номенклатура!$K:$K,MATCH(B19,Номенклатура!$A:$A,0)),0))</f>
        <v/>
      </c>
      <c r="H19" s="23"/>
      <c r="I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1" t="str">
        <f aca="false">IF(B20="","",C20*IFERROR(INDEX(Номенклатура!$K:$K,MATCH(B20,Номенклатура!$A:$A,0)),0))</f>
        <v/>
      </c>
      <c r="H20" s="23"/>
      <c r="I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1" t="str">
        <f aca="false">IF(B21="","",C21*IFERROR(INDEX(Номенклатура!$K:$K,MATCH(B21,Номенклатура!$A:$A,0)),0))</f>
        <v/>
      </c>
      <c r="H21" s="23"/>
      <c r="I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1" t="str">
        <f aca="false">IF(B22="","",C22*IFERROR(INDEX(Номенклатура!$K:$K,MATCH(B22,Номенклатура!$A:$A,0)),0))</f>
        <v/>
      </c>
      <c r="H22" s="23"/>
      <c r="I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1" t="str">
        <f aca="false">IF(B23="","",C23*IFERROR(INDEX(Номенклатура!$K:$K,MATCH(B23,Номенклатура!$A:$A,0)),0))</f>
        <v/>
      </c>
      <c r="H23" s="23"/>
      <c r="I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1" t="str">
        <f aca="false">IF(B24="","",C24*IFERROR(INDEX(Номенклатура!$K:$K,MATCH(B24,Номенклатура!$A:$A,0)),0))</f>
        <v/>
      </c>
      <c r="H24" s="23"/>
      <c r="I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1" t="str">
        <f aca="false">IF(B25="","",C25*IFERROR(INDEX(Номенклатура!$K:$K,MATCH(B25,Номенклатура!$A:$A,0)),0))</f>
        <v/>
      </c>
      <c r="H25" s="23"/>
      <c r="I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1" t="str">
        <f aca="false">IF(B26="","",C26*IFERROR(INDEX(Номенклатура!$K:$K,MATCH(B26,Номенклатура!$A:$A,0)),0))</f>
        <v/>
      </c>
      <c r="H26" s="23"/>
      <c r="I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1" t="str">
        <f aca="false">IF(B27="","",C27*IFERROR(INDEX(Номенклатура!$K:$K,MATCH(B27,Номенклатура!$A:$A,0)),0))</f>
        <v/>
      </c>
      <c r="H27" s="23"/>
      <c r="I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1" t="str">
        <f aca="false">IF(B28="","",C28*IFERROR(INDEX(Номенклатура!$K:$K,MATCH(B28,Номенклатура!$A:$A,0)),0))</f>
        <v/>
      </c>
      <c r="H28" s="23"/>
      <c r="I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1" t="str">
        <f aca="false">IF(B29="","",C29*IFERROR(INDEX(Номенклатура!$K:$K,MATCH(B29,Номенклатура!$A:$A,0)),0))</f>
        <v/>
      </c>
      <c r="H29" s="23"/>
      <c r="I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1" t="str">
        <f aca="false">IF(B30="","",C30*IFERROR(INDEX(Номенклатура!$K:$K,MATCH(B30,Номенклатура!$A:$A,0)),0))</f>
        <v/>
      </c>
      <c r="H30" s="23"/>
      <c r="I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1" t="str">
        <f aca="false">IF(B31="","",C31*IFERROR(INDEX(Номенклатура!$K:$K,MATCH(B31,Номенклатура!$A:$A,0)),0))</f>
        <v/>
      </c>
      <c r="H31" s="23"/>
      <c r="I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1" t="str">
        <f aca="false">IF(B32="","",C32*IFERROR(INDEX(Номенклатура!$K:$K,MATCH(B32,Номенклатура!$A:$A,0)),0))</f>
        <v/>
      </c>
      <c r="H32" s="23"/>
      <c r="I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1" t="str">
        <f aca="false">IF(B33="","",C33*IFERROR(INDEX(Номенклатура!$K:$K,MATCH(B33,Номенклатура!$A:$A,0)),0))</f>
        <v/>
      </c>
      <c r="H33" s="23"/>
      <c r="I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1" t="str">
        <f aca="false">IF(B34="","",C34*IFERROR(INDEX(Номенклатура!$K:$K,MATCH(B34,Номенклатура!$A:$A,0)),0))</f>
        <v/>
      </c>
      <c r="H34" s="23"/>
      <c r="I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1" t="str">
        <f aca="false">IF(B35="","",C35*IFERROR(INDEX(Номенклатура!$K:$K,MATCH(B35,Номенклатура!$A:$A,0)),0))</f>
        <v/>
      </c>
      <c r="H35" s="23"/>
      <c r="I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1" t="str">
        <f aca="false">IF(B36="","",C36*IFERROR(INDEX(Номенклатура!$K:$K,MATCH(B36,Номенклатура!$A:$A,0)),0))</f>
        <v/>
      </c>
      <c r="H36" s="23"/>
      <c r="I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1" t="str">
        <f aca="false">IF(B37="","",C37*IFERROR(INDEX(Номенклатура!$K:$K,MATCH(B37,Номенклатура!$A:$A,0)),0))</f>
        <v/>
      </c>
      <c r="H37" s="23"/>
      <c r="I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1" t="str">
        <f aca="false">IF(B38="","",C38*IFERROR(INDEX(Номенклатура!$K:$K,MATCH(B38,Номенклатура!$A:$A,0)),0))</f>
        <v/>
      </c>
      <c r="H38" s="23"/>
      <c r="I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1" t="str">
        <f aca="false">IF(B39="","",C39*IFERROR(INDEX(Номенклатура!$K:$K,MATCH(B39,Номенклатура!$A:$A,0)),0))</f>
        <v/>
      </c>
      <c r="H39" s="23"/>
      <c r="I39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30"/>
  </cols>
  <sheetData>
    <row r="1" customFormat="false" ht="23.85" hidden="false" customHeight="false" outlineLevel="0" collapsed="false">
      <c r="A1" s="13" t="s">
        <v>67</v>
      </c>
      <c r="B1" s="13" t="s">
        <v>33</v>
      </c>
      <c r="C1" s="13" t="s">
        <v>76</v>
      </c>
      <c r="D1" s="13" t="s">
        <v>77</v>
      </c>
      <c r="E1" s="13" t="s">
        <v>78</v>
      </c>
      <c r="F1" s="13" t="s">
        <v>79</v>
      </c>
      <c r="G1" s="13" t="s">
        <v>80</v>
      </c>
      <c r="H1" s="13" t="s">
        <v>81</v>
      </c>
      <c r="I1" s="13" t="s">
        <v>82</v>
      </c>
      <c r="J1" s="13" t="s">
        <v>83</v>
      </c>
      <c r="K1" s="13" t="s">
        <v>84</v>
      </c>
      <c r="L1" s="13" t="s">
        <v>45</v>
      </c>
    </row>
    <row r="2" customFormat="false" ht="15" hidden="false" customHeight="false" outlineLevel="0" collapsed="false">
      <c r="A2" s="14" t="s">
        <v>85</v>
      </c>
      <c r="B2" s="14" t="s">
        <v>46</v>
      </c>
      <c r="C2" s="14" t="str">
        <f aca="false">IF(B2="","",IFERROR(INDEX(Номенклатура!$B:$B,MATCH(B2,Номенклатура!$A:$A,0)),""))</f>
        <v>Приклад розрахунку (ілюстративні цифри)</v>
      </c>
      <c r="D2" s="14" t="n">
        <v>1</v>
      </c>
      <c r="E2" s="15" t="n">
        <v>350</v>
      </c>
      <c r="F2" s="16" t="n">
        <f aca="false">IF(B2="","",IFERROR(INDEX(Номенклатура!$K:$K,MATCH(B2,Номенклатура!$A:$A,0)),0))</f>
        <v>84</v>
      </c>
      <c r="G2" s="24" t="n">
        <v>0.2</v>
      </c>
      <c r="H2" s="16" t="n">
        <f aca="false">IF(D2="","",D2*E2*G2)</f>
        <v>70</v>
      </c>
      <c r="I2" s="16" t="n">
        <f aca="false">IF(D2="","",D2*E2-D2*F2-H2)</f>
        <v>196</v>
      </c>
      <c r="J2" s="14" t="s">
        <v>86</v>
      </c>
      <c r="K2" s="14" t="s">
        <v>48</v>
      </c>
      <c r="L2" s="14" t="s">
        <v>87</v>
      </c>
    </row>
    <row r="3" customFormat="false" ht="15" hidden="false" customHeight="false" outlineLevel="0" collapsed="false">
      <c r="A3" s="23"/>
      <c r="B3" s="23"/>
      <c r="C3" s="25" t="str">
        <f aca="false">IF(B3="","",IFERROR(INDEX(Номенклатура!$B:$B,MATCH(B3,Номенклатура!$A:$A,0)),""))</f>
        <v/>
      </c>
      <c r="D3" s="23"/>
      <c r="E3" s="26"/>
      <c r="F3" s="21" t="str">
        <f aca="false">IF(B3="","",IFERROR(INDEX(Номенклатура!$K:$K,MATCH(B3,Номенклатура!$A:$A,0)),0))</f>
        <v/>
      </c>
      <c r="G3" s="27"/>
      <c r="H3" s="21" t="str">
        <f aca="false">IF(D3="","",D3*E3*G3)</f>
        <v/>
      </c>
      <c r="I3" s="21" t="str">
        <f aca="false">IF(D3="","",D3*E3-D3*F3-H3)</f>
        <v/>
      </c>
      <c r="J3" s="23"/>
      <c r="K3" s="23"/>
      <c r="L3" s="23"/>
    </row>
    <row r="4" customFormat="false" ht="15" hidden="false" customHeight="false" outlineLevel="0" collapsed="false">
      <c r="A4" s="23"/>
      <c r="B4" s="23"/>
      <c r="C4" s="25" t="str">
        <f aca="false">IF(B4="","",IFERROR(INDEX(Номенклатура!$B:$B,MATCH(B4,Номенклатура!$A:$A,0)),""))</f>
        <v/>
      </c>
      <c r="D4" s="23"/>
      <c r="E4" s="26"/>
      <c r="F4" s="21" t="str">
        <f aca="false">IF(B4="","",IFERROR(INDEX(Номенклатура!$K:$K,MATCH(B4,Номенклатура!$A:$A,0)),0))</f>
        <v/>
      </c>
      <c r="G4" s="27"/>
      <c r="H4" s="21" t="str">
        <f aca="false">IF(D4="","",D4*E4*G4)</f>
        <v/>
      </c>
      <c r="I4" s="21" t="str">
        <f aca="false">IF(D4="","",D4*E4-D4*F4-H4)</f>
        <v/>
      </c>
      <c r="J4" s="23"/>
      <c r="K4" s="23"/>
      <c r="L4" s="23"/>
    </row>
    <row r="5" customFormat="false" ht="15" hidden="false" customHeight="false" outlineLevel="0" collapsed="false">
      <c r="A5" s="23"/>
      <c r="B5" s="23"/>
      <c r="C5" s="25" t="str">
        <f aca="false">IF(B5="","",IFERROR(INDEX(Номенклатура!$B:$B,MATCH(B5,Номенклатура!$A:$A,0)),""))</f>
        <v/>
      </c>
      <c r="D5" s="23"/>
      <c r="E5" s="26"/>
      <c r="F5" s="21" t="str">
        <f aca="false">IF(B5="","",IFERROR(INDEX(Номенклатура!$K:$K,MATCH(B5,Номенклатура!$A:$A,0)),0))</f>
        <v/>
      </c>
      <c r="G5" s="27"/>
      <c r="H5" s="21" t="str">
        <f aca="false">IF(D5="","",D5*E5*G5)</f>
        <v/>
      </c>
      <c r="I5" s="21" t="str">
        <f aca="false">IF(D5="","",D5*E5-D5*F5-H5)</f>
        <v/>
      </c>
      <c r="J5" s="23"/>
      <c r="K5" s="23"/>
      <c r="L5" s="23"/>
    </row>
    <row r="6" customFormat="false" ht="15" hidden="false" customHeight="false" outlineLevel="0" collapsed="false">
      <c r="A6" s="23"/>
      <c r="B6" s="23"/>
      <c r="C6" s="25" t="str">
        <f aca="false">IF(B6="","",IFERROR(INDEX(Номенклатура!$B:$B,MATCH(B6,Номенклатура!$A:$A,0)),""))</f>
        <v/>
      </c>
      <c r="D6" s="23"/>
      <c r="E6" s="26"/>
      <c r="F6" s="21" t="str">
        <f aca="false">IF(B6="","",IFERROR(INDEX(Номенклатура!$K:$K,MATCH(B6,Номенклатура!$A:$A,0)),0))</f>
        <v/>
      </c>
      <c r="G6" s="27"/>
      <c r="H6" s="21" t="str">
        <f aca="false">IF(D6="","",D6*E6*G6)</f>
        <v/>
      </c>
      <c r="I6" s="21" t="str">
        <f aca="false">IF(D6="","",D6*E6-D6*F6-H6)</f>
        <v/>
      </c>
      <c r="J6" s="23"/>
      <c r="K6" s="23"/>
      <c r="L6" s="23"/>
    </row>
    <row r="7" customFormat="false" ht="15" hidden="false" customHeight="false" outlineLevel="0" collapsed="false">
      <c r="A7" s="23"/>
      <c r="B7" s="23"/>
      <c r="C7" s="25" t="str">
        <f aca="false">IF(B7="","",IFERROR(INDEX(Номенклатура!$B:$B,MATCH(B7,Номенклатура!$A:$A,0)),""))</f>
        <v/>
      </c>
      <c r="D7" s="23"/>
      <c r="E7" s="26"/>
      <c r="F7" s="21" t="str">
        <f aca="false">IF(B7="","",IFERROR(INDEX(Номенклатура!$K:$K,MATCH(B7,Номенклатура!$A:$A,0)),0))</f>
        <v/>
      </c>
      <c r="G7" s="27"/>
      <c r="H7" s="21" t="str">
        <f aca="false">IF(D7="","",D7*E7*G7)</f>
        <v/>
      </c>
      <c r="I7" s="21" t="str">
        <f aca="false">IF(D7="","",D7*E7-D7*F7-H7)</f>
        <v/>
      </c>
      <c r="J7" s="23"/>
      <c r="K7" s="23"/>
      <c r="L7" s="23"/>
    </row>
    <row r="8" customFormat="false" ht="15" hidden="false" customHeight="false" outlineLevel="0" collapsed="false">
      <c r="A8" s="23"/>
      <c r="B8" s="23"/>
      <c r="C8" s="25" t="str">
        <f aca="false">IF(B8="","",IFERROR(INDEX(Номенклатура!$B:$B,MATCH(B8,Номенклатура!$A:$A,0)),""))</f>
        <v/>
      </c>
      <c r="D8" s="23"/>
      <c r="E8" s="26"/>
      <c r="F8" s="21" t="str">
        <f aca="false">IF(B8="","",IFERROR(INDEX(Номенклатура!$K:$K,MATCH(B8,Номенклатура!$A:$A,0)),0))</f>
        <v/>
      </c>
      <c r="G8" s="27"/>
      <c r="H8" s="21" t="str">
        <f aca="false">IF(D8="","",D8*E8*G8)</f>
        <v/>
      </c>
      <c r="I8" s="21" t="str">
        <f aca="false">IF(D8="","",D8*E8-D8*F8-H8)</f>
        <v/>
      </c>
      <c r="J8" s="23"/>
      <c r="K8" s="23"/>
      <c r="L8" s="23"/>
    </row>
    <row r="9" customFormat="false" ht="15" hidden="false" customHeight="false" outlineLevel="0" collapsed="false">
      <c r="A9" s="23"/>
      <c r="B9" s="23"/>
      <c r="C9" s="25" t="str">
        <f aca="false">IF(B9="","",IFERROR(INDEX(Номенклатура!$B:$B,MATCH(B9,Номенклатура!$A:$A,0)),""))</f>
        <v/>
      </c>
      <c r="D9" s="23"/>
      <c r="E9" s="26"/>
      <c r="F9" s="21" t="str">
        <f aca="false">IF(B9="","",IFERROR(INDEX(Номенклатура!$K:$K,MATCH(B9,Номенклатура!$A:$A,0)),0))</f>
        <v/>
      </c>
      <c r="G9" s="27"/>
      <c r="H9" s="21" t="str">
        <f aca="false">IF(D9="","",D9*E9*G9)</f>
        <v/>
      </c>
      <c r="I9" s="21" t="str">
        <f aca="false">IF(D9="","",D9*E9-D9*F9-H9)</f>
        <v/>
      </c>
      <c r="J9" s="23"/>
      <c r="K9" s="23"/>
      <c r="L9" s="23"/>
    </row>
    <row r="10" customFormat="false" ht="15" hidden="false" customHeight="false" outlineLevel="0" collapsed="false">
      <c r="A10" s="23"/>
      <c r="B10" s="23"/>
      <c r="C10" s="25" t="str">
        <f aca="false">IF(B10="","",IFERROR(INDEX(Номенклатура!$B:$B,MATCH(B10,Номенклатура!$A:$A,0)),""))</f>
        <v/>
      </c>
      <c r="D10" s="23"/>
      <c r="E10" s="26"/>
      <c r="F10" s="21" t="str">
        <f aca="false">IF(B10="","",IFERROR(INDEX(Номенклатура!$K:$K,MATCH(B10,Номенклатура!$A:$A,0)),0))</f>
        <v/>
      </c>
      <c r="G10" s="27"/>
      <c r="H10" s="21" t="str">
        <f aca="false">IF(D10="","",D10*E10*G10)</f>
        <v/>
      </c>
      <c r="I10" s="21" t="str">
        <f aca="false">IF(D10="","",D10*E10-D10*F10-H10)</f>
        <v/>
      </c>
      <c r="J10" s="23"/>
      <c r="K10" s="23"/>
      <c r="L10" s="23"/>
    </row>
    <row r="11" customFormat="false" ht="15" hidden="false" customHeight="false" outlineLevel="0" collapsed="false">
      <c r="A11" s="23"/>
      <c r="B11" s="23"/>
      <c r="C11" s="25" t="str">
        <f aca="false">IF(B11="","",IFERROR(INDEX(Номенклатура!$B:$B,MATCH(B11,Номенклатура!$A:$A,0)),""))</f>
        <v/>
      </c>
      <c r="D11" s="23"/>
      <c r="E11" s="26"/>
      <c r="F11" s="21" t="str">
        <f aca="false">IF(B11="","",IFERROR(INDEX(Номенклатура!$K:$K,MATCH(B11,Номенклатура!$A:$A,0)),0))</f>
        <v/>
      </c>
      <c r="G11" s="27"/>
      <c r="H11" s="21" t="str">
        <f aca="false">IF(D11="","",D11*E11*G11)</f>
        <v/>
      </c>
      <c r="I11" s="21" t="str">
        <f aca="false">IF(D11="","",D11*E11-D11*F11-H11)</f>
        <v/>
      </c>
      <c r="J11" s="23"/>
      <c r="K11" s="23"/>
      <c r="L11" s="23"/>
    </row>
    <row r="12" customFormat="false" ht="15" hidden="false" customHeight="false" outlineLevel="0" collapsed="false">
      <c r="A12" s="23"/>
      <c r="B12" s="23"/>
      <c r="C12" s="25" t="str">
        <f aca="false">IF(B12="","",IFERROR(INDEX(Номенклатура!$B:$B,MATCH(B12,Номенклатура!$A:$A,0)),""))</f>
        <v/>
      </c>
      <c r="D12" s="23"/>
      <c r="E12" s="26"/>
      <c r="F12" s="21" t="str">
        <f aca="false">IF(B12="","",IFERROR(INDEX(Номенклатура!$K:$K,MATCH(B12,Номенклатура!$A:$A,0)),0))</f>
        <v/>
      </c>
      <c r="G12" s="27"/>
      <c r="H12" s="21" t="str">
        <f aca="false">IF(D12="","",D12*E12*G12)</f>
        <v/>
      </c>
      <c r="I12" s="21" t="str">
        <f aca="false">IF(D12="","",D12*E12-D12*F12-H12)</f>
        <v/>
      </c>
      <c r="J12" s="23"/>
      <c r="K12" s="23"/>
      <c r="L12" s="23"/>
    </row>
    <row r="13" customFormat="false" ht="15" hidden="false" customHeight="false" outlineLevel="0" collapsed="false">
      <c r="A13" s="23"/>
      <c r="B13" s="23"/>
      <c r="C13" s="25" t="str">
        <f aca="false">IF(B13="","",IFERROR(INDEX(Номенклатура!$B:$B,MATCH(B13,Номенклатура!$A:$A,0)),""))</f>
        <v/>
      </c>
      <c r="D13" s="23"/>
      <c r="E13" s="26"/>
      <c r="F13" s="21" t="str">
        <f aca="false">IF(B13="","",IFERROR(INDEX(Номенклатура!$K:$K,MATCH(B13,Номенклатура!$A:$A,0)),0))</f>
        <v/>
      </c>
      <c r="G13" s="27"/>
      <c r="H13" s="21" t="str">
        <f aca="false">IF(D13="","",D13*E13*G13)</f>
        <v/>
      </c>
      <c r="I13" s="21" t="str">
        <f aca="false">IF(D13="","",D13*E13-D13*F13-H13)</f>
        <v/>
      </c>
      <c r="J13" s="23"/>
      <c r="K13" s="23"/>
      <c r="L13" s="23"/>
    </row>
    <row r="14" customFormat="false" ht="15" hidden="false" customHeight="false" outlineLevel="0" collapsed="false">
      <c r="A14" s="23"/>
      <c r="B14" s="23"/>
      <c r="C14" s="25" t="str">
        <f aca="false">IF(B14="","",IFERROR(INDEX(Номенклатура!$B:$B,MATCH(B14,Номенклатура!$A:$A,0)),""))</f>
        <v/>
      </c>
      <c r="D14" s="23"/>
      <c r="E14" s="26"/>
      <c r="F14" s="21" t="str">
        <f aca="false">IF(B14="","",IFERROR(INDEX(Номенклатура!$K:$K,MATCH(B14,Номенклатура!$A:$A,0)),0))</f>
        <v/>
      </c>
      <c r="G14" s="27"/>
      <c r="H14" s="21" t="str">
        <f aca="false">IF(D14="","",D14*E14*G14)</f>
        <v/>
      </c>
      <c r="I14" s="21" t="str">
        <f aca="false">IF(D14="","",D14*E14-D14*F14-H14)</f>
        <v/>
      </c>
      <c r="J14" s="23"/>
      <c r="K14" s="23"/>
      <c r="L14" s="23"/>
    </row>
    <row r="15" customFormat="false" ht="15" hidden="false" customHeight="false" outlineLevel="0" collapsed="false">
      <c r="A15" s="23"/>
      <c r="B15" s="23"/>
      <c r="C15" s="25" t="str">
        <f aca="false">IF(B15="","",IFERROR(INDEX(Номенклатура!$B:$B,MATCH(B15,Номенклатура!$A:$A,0)),""))</f>
        <v/>
      </c>
      <c r="D15" s="23"/>
      <c r="E15" s="26"/>
      <c r="F15" s="21" t="str">
        <f aca="false">IF(B15="","",IFERROR(INDEX(Номенклатура!$K:$K,MATCH(B15,Номенклатура!$A:$A,0)),0))</f>
        <v/>
      </c>
      <c r="G15" s="27"/>
      <c r="H15" s="21" t="str">
        <f aca="false">IF(D15="","",D15*E15*G15)</f>
        <v/>
      </c>
      <c r="I15" s="21" t="str">
        <f aca="false">IF(D15="","",D15*E15-D15*F15-H15)</f>
        <v/>
      </c>
      <c r="J15" s="23"/>
      <c r="K15" s="23"/>
      <c r="L15" s="23"/>
    </row>
    <row r="16" customFormat="false" ht="15" hidden="false" customHeight="false" outlineLevel="0" collapsed="false">
      <c r="A16" s="23"/>
      <c r="B16" s="23"/>
      <c r="C16" s="25" t="str">
        <f aca="false">IF(B16="","",IFERROR(INDEX(Номенклатура!$B:$B,MATCH(B16,Номенклатура!$A:$A,0)),""))</f>
        <v/>
      </c>
      <c r="D16" s="23"/>
      <c r="E16" s="26"/>
      <c r="F16" s="21" t="str">
        <f aca="false">IF(B16="","",IFERROR(INDEX(Номенклатура!$K:$K,MATCH(B16,Номенклатура!$A:$A,0)),0))</f>
        <v/>
      </c>
      <c r="G16" s="27"/>
      <c r="H16" s="21" t="str">
        <f aca="false">IF(D16="","",D16*E16*G16)</f>
        <v/>
      </c>
      <c r="I16" s="21" t="str">
        <f aca="false">IF(D16="","",D16*E16-D16*F16-H16)</f>
        <v/>
      </c>
      <c r="J16" s="23"/>
      <c r="K16" s="23"/>
      <c r="L16" s="23"/>
    </row>
    <row r="17" customFormat="false" ht="15" hidden="false" customHeight="false" outlineLevel="0" collapsed="false">
      <c r="A17" s="23"/>
      <c r="B17" s="23"/>
      <c r="C17" s="25" t="str">
        <f aca="false">IF(B17="","",IFERROR(INDEX(Номенклатура!$B:$B,MATCH(B17,Номенклатура!$A:$A,0)),""))</f>
        <v/>
      </c>
      <c r="D17" s="23"/>
      <c r="E17" s="26"/>
      <c r="F17" s="21" t="str">
        <f aca="false">IF(B17="","",IFERROR(INDEX(Номенклатура!$K:$K,MATCH(B17,Номенклатура!$A:$A,0)),0))</f>
        <v/>
      </c>
      <c r="G17" s="27"/>
      <c r="H17" s="21" t="str">
        <f aca="false">IF(D17="","",D17*E17*G17)</f>
        <v/>
      </c>
      <c r="I17" s="21" t="str">
        <f aca="false">IF(D17="","",D17*E17-D17*F17-H17)</f>
        <v/>
      </c>
      <c r="J17" s="23"/>
      <c r="K17" s="23"/>
      <c r="L17" s="23"/>
    </row>
    <row r="18" customFormat="false" ht="15" hidden="false" customHeight="false" outlineLevel="0" collapsed="false">
      <c r="A18" s="23"/>
      <c r="B18" s="23"/>
      <c r="C18" s="25" t="str">
        <f aca="false">IF(B18="","",IFERROR(INDEX(Номенклатура!$B:$B,MATCH(B18,Номенклатура!$A:$A,0)),""))</f>
        <v/>
      </c>
      <c r="D18" s="23"/>
      <c r="E18" s="26"/>
      <c r="F18" s="21" t="str">
        <f aca="false">IF(B18="","",IFERROR(INDEX(Номенклатура!$K:$K,MATCH(B18,Номенклатура!$A:$A,0)),0))</f>
        <v/>
      </c>
      <c r="G18" s="27"/>
      <c r="H18" s="21" t="str">
        <f aca="false">IF(D18="","",D18*E18*G18)</f>
        <v/>
      </c>
      <c r="I18" s="21" t="str">
        <f aca="false">IF(D18="","",D18*E18-D18*F18-H18)</f>
        <v/>
      </c>
      <c r="J18" s="23"/>
      <c r="K18" s="23"/>
      <c r="L18" s="23"/>
    </row>
    <row r="19" customFormat="false" ht="15" hidden="false" customHeight="false" outlineLevel="0" collapsed="false">
      <c r="A19" s="23"/>
      <c r="B19" s="23"/>
      <c r="C19" s="25" t="str">
        <f aca="false">IF(B19="","",IFERROR(INDEX(Номенклатура!$B:$B,MATCH(B19,Номенклатура!$A:$A,0)),""))</f>
        <v/>
      </c>
      <c r="D19" s="23"/>
      <c r="E19" s="26"/>
      <c r="F19" s="21" t="str">
        <f aca="false">IF(B19="","",IFERROR(INDEX(Номенклатура!$K:$K,MATCH(B19,Номенклатура!$A:$A,0)),0))</f>
        <v/>
      </c>
      <c r="G19" s="27"/>
      <c r="H19" s="21" t="str">
        <f aca="false">IF(D19="","",D19*E19*G19)</f>
        <v/>
      </c>
      <c r="I19" s="21" t="str">
        <f aca="false">IF(D19="","",D19*E19-D19*F19-H19)</f>
        <v/>
      </c>
      <c r="J19" s="23"/>
      <c r="K19" s="23"/>
      <c r="L19" s="23"/>
    </row>
    <row r="20" customFormat="false" ht="15" hidden="false" customHeight="false" outlineLevel="0" collapsed="false">
      <c r="A20" s="23"/>
      <c r="B20" s="23"/>
      <c r="C20" s="25" t="str">
        <f aca="false">IF(B20="","",IFERROR(INDEX(Номенклатура!$B:$B,MATCH(B20,Номенклатура!$A:$A,0)),""))</f>
        <v/>
      </c>
      <c r="D20" s="23"/>
      <c r="E20" s="26"/>
      <c r="F20" s="21" t="str">
        <f aca="false">IF(B20="","",IFERROR(INDEX(Номенклатура!$K:$K,MATCH(B20,Номенклатура!$A:$A,0)),0))</f>
        <v/>
      </c>
      <c r="G20" s="27"/>
      <c r="H20" s="21" t="str">
        <f aca="false">IF(D20="","",D20*E20*G20)</f>
        <v/>
      </c>
      <c r="I20" s="21" t="str">
        <f aca="false">IF(D20="","",D20*E20-D20*F20-H20)</f>
        <v/>
      </c>
      <c r="J20" s="23"/>
      <c r="K20" s="23"/>
      <c r="L20" s="23"/>
    </row>
    <row r="21" customFormat="false" ht="15" hidden="false" customHeight="false" outlineLevel="0" collapsed="false">
      <c r="A21" s="23"/>
      <c r="B21" s="23"/>
      <c r="C21" s="25" t="str">
        <f aca="false">IF(B21="","",IFERROR(INDEX(Номенклатура!$B:$B,MATCH(B21,Номенклатура!$A:$A,0)),""))</f>
        <v/>
      </c>
      <c r="D21" s="23"/>
      <c r="E21" s="26"/>
      <c r="F21" s="21" t="str">
        <f aca="false">IF(B21="","",IFERROR(INDEX(Номенклатура!$K:$K,MATCH(B21,Номенклатура!$A:$A,0)),0))</f>
        <v/>
      </c>
      <c r="G21" s="27"/>
      <c r="H21" s="21" t="str">
        <f aca="false">IF(D21="","",D21*E21*G21)</f>
        <v/>
      </c>
      <c r="I21" s="21" t="str">
        <f aca="false">IF(D21="","",D21*E21-D21*F21-H21)</f>
        <v/>
      </c>
      <c r="J21" s="23"/>
      <c r="K21" s="23"/>
      <c r="L21" s="23"/>
    </row>
    <row r="22" customFormat="false" ht="15" hidden="false" customHeight="false" outlineLevel="0" collapsed="false">
      <c r="A22" s="23"/>
      <c r="B22" s="23"/>
      <c r="C22" s="25" t="str">
        <f aca="false">IF(B22="","",IFERROR(INDEX(Номенклатура!$B:$B,MATCH(B22,Номенклатура!$A:$A,0)),""))</f>
        <v/>
      </c>
      <c r="D22" s="23"/>
      <c r="E22" s="26"/>
      <c r="F22" s="21" t="str">
        <f aca="false">IF(B22="","",IFERROR(INDEX(Номенклатура!$K:$K,MATCH(B22,Номенклатура!$A:$A,0)),0))</f>
        <v/>
      </c>
      <c r="G22" s="27"/>
      <c r="H22" s="21" t="str">
        <f aca="false">IF(D22="","",D22*E22*G22)</f>
        <v/>
      </c>
      <c r="I22" s="21" t="str">
        <f aca="false">IF(D22="","",D22*E22-D22*F22-H22)</f>
        <v/>
      </c>
      <c r="J22" s="23"/>
      <c r="K22" s="23"/>
      <c r="L22" s="23"/>
    </row>
    <row r="23" customFormat="false" ht="15" hidden="false" customHeight="false" outlineLevel="0" collapsed="false">
      <c r="A23" s="23"/>
      <c r="B23" s="23"/>
      <c r="C23" s="25" t="str">
        <f aca="false">IF(B23="","",IFERROR(INDEX(Номенклатура!$B:$B,MATCH(B23,Номенклатура!$A:$A,0)),""))</f>
        <v/>
      </c>
      <c r="D23" s="23"/>
      <c r="E23" s="26"/>
      <c r="F23" s="21" t="str">
        <f aca="false">IF(B23="","",IFERROR(INDEX(Номенклатура!$K:$K,MATCH(B23,Номенклатура!$A:$A,0)),0))</f>
        <v/>
      </c>
      <c r="G23" s="27"/>
      <c r="H23" s="21" t="str">
        <f aca="false">IF(D23="","",D23*E23*G23)</f>
        <v/>
      </c>
      <c r="I23" s="21" t="str">
        <f aca="false">IF(D23="","",D23*E23-D23*F23-H23)</f>
        <v/>
      </c>
      <c r="J23" s="23"/>
      <c r="K23" s="23"/>
      <c r="L23" s="23"/>
    </row>
    <row r="24" customFormat="false" ht="15" hidden="false" customHeight="false" outlineLevel="0" collapsed="false">
      <c r="A24" s="23"/>
      <c r="B24" s="23"/>
      <c r="C24" s="25" t="str">
        <f aca="false">IF(B24="","",IFERROR(INDEX(Номенклатура!$B:$B,MATCH(B24,Номенклатура!$A:$A,0)),""))</f>
        <v/>
      </c>
      <c r="D24" s="23"/>
      <c r="E24" s="26"/>
      <c r="F24" s="21" t="str">
        <f aca="false">IF(B24="","",IFERROR(INDEX(Номенклатура!$K:$K,MATCH(B24,Номенклатура!$A:$A,0)),0))</f>
        <v/>
      </c>
      <c r="G24" s="27"/>
      <c r="H24" s="21" t="str">
        <f aca="false">IF(D24="","",D24*E24*G24)</f>
        <v/>
      </c>
      <c r="I24" s="21" t="str">
        <f aca="false">IF(D24="","",D24*E24-D24*F24-H24)</f>
        <v/>
      </c>
      <c r="J24" s="23"/>
      <c r="K24" s="23"/>
      <c r="L24" s="23"/>
    </row>
    <row r="25" customFormat="false" ht="15" hidden="false" customHeight="false" outlineLevel="0" collapsed="false">
      <c r="A25" s="23"/>
      <c r="B25" s="23"/>
      <c r="C25" s="25" t="str">
        <f aca="false">IF(B25="","",IFERROR(INDEX(Номенклатура!$B:$B,MATCH(B25,Номенклатура!$A:$A,0)),""))</f>
        <v/>
      </c>
      <c r="D25" s="23"/>
      <c r="E25" s="26"/>
      <c r="F25" s="21" t="str">
        <f aca="false">IF(B25="","",IFERROR(INDEX(Номенклатура!$K:$K,MATCH(B25,Номенклатура!$A:$A,0)),0))</f>
        <v/>
      </c>
      <c r="G25" s="27"/>
      <c r="H25" s="21" t="str">
        <f aca="false">IF(D25="","",D25*E25*G25)</f>
        <v/>
      </c>
      <c r="I25" s="21" t="str">
        <f aca="false">IF(D25="","",D25*E25-D25*F25-H25)</f>
        <v/>
      </c>
      <c r="J25" s="23"/>
      <c r="K25" s="23"/>
      <c r="L25" s="23"/>
    </row>
    <row r="26" customFormat="false" ht="15" hidden="false" customHeight="false" outlineLevel="0" collapsed="false">
      <c r="A26" s="23"/>
      <c r="B26" s="23"/>
      <c r="C26" s="25" t="str">
        <f aca="false">IF(B26="","",IFERROR(INDEX(Номенклатура!$B:$B,MATCH(B26,Номенклатура!$A:$A,0)),""))</f>
        <v/>
      </c>
      <c r="D26" s="23"/>
      <c r="E26" s="26"/>
      <c r="F26" s="21" t="str">
        <f aca="false">IF(B26="","",IFERROR(INDEX(Номенклатура!$K:$K,MATCH(B26,Номенклатура!$A:$A,0)),0))</f>
        <v/>
      </c>
      <c r="G26" s="27"/>
      <c r="H26" s="21" t="str">
        <f aca="false">IF(D26="","",D26*E26*G26)</f>
        <v/>
      </c>
      <c r="I26" s="21" t="str">
        <f aca="false">IF(D26="","",D26*E26-D26*F26-H26)</f>
        <v/>
      </c>
      <c r="J26" s="23"/>
      <c r="K26" s="23"/>
      <c r="L26" s="23"/>
    </row>
    <row r="27" customFormat="false" ht="15" hidden="false" customHeight="false" outlineLevel="0" collapsed="false">
      <c r="A27" s="23"/>
      <c r="B27" s="23"/>
      <c r="C27" s="25" t="str">
        <f aca="false">IF(B27="","",IFERROR(INDEX(Номенклатура!$B:$B,MATCH(B27,Номенклатура!$A:$A,0)),""))</f>
        <v/>
      </c>
      <c r="D27" s="23"/>
      <c r="E27" s="26"/>
      <c r="F27" s="21" t="str">
        <f aca="false">IF(B27="","",IFERROR(INDEX(Номенклатура!$K:$K,MATCH(B27,Номенклатура!$A:$A,0)),0))</f>
        <v/>
      </c>
      <c r="G27" s="27"/>
      <c r="H27" s="21" t="str">
        <f aca="false">IF(D27="","",D27*E27*G27)</f>
        <v/>
      </c>
      <c r="I27" s="21" t="str">
        <f aca="false">IF(D27="","",D27*E27-D27*F27-H27)</f>
        <v/>
      </c>
      <c r="J27" s="23"/>
      <c r="K27" s="23"/>
      <c r="L27" s="23"/>
    </row>
    <row r="28" customFormat="false" ht="15" hidden="false" customHeight="false" outlineLevel="0" collapsed="false">
      <c r="A28" s="23"/>
      <c r="B28" s="23"/>
      <c r="C28" s="25" t="str">
        <f aca="false">IF(B28="","",IFERROR(INDEX(Номенклатура!$B:$B,MATCH(B28,Номенклатура!$A:$A,0)),""))</f>
        <v/>
      </c>
      <c r="D28" s="23"/>
      <c r="E28" s="26"/>
      <c r="F28" s="21" t="str">
        <f aca="false">IF(B28="","",IFERROR(INDEX(Номенклатура!$K:$K,MATCH(B28,Номенклатура!$A:$A,0)),0))</f>
        <v/>
      </c>
      <c r="G28" s="27"/>
      <c r="H28" s="21" t="str">
        <f aca="false">IF(D28="","",D28*E28*G28)</f>
        <v/>
      </c>
      <c r="I28" s="21" t="str">
        <f aca="false">IF(D28="","",D28*E28-D28*F28-H28)</f>
        <v/>
      </c>
      <c r="J28" s="23"/>
      <c r="K28" s="23"/>
      <c r="L28" s="23"/>
    </row>
    <row r="29" customFormat="false" ht="15" hidden="false" customHeight="false" outlineLevel="0" collapsed="false">
      <c r="A29" s="23"/>
      <c r="B29" s="23"/>
      <c r="C29" s="25" t="str">
        <f aca="false">IF(B29="","",IFERROR(INDEX(Номенклатура!$B:$B,MATCH(B29,Номенклатура!$A:$A,0)),""))</f>
        <v/>
      </c>
      <c r="D29" s="23"/>
      <c r="E29" s="26"/>
      <c r="F29" s="21" t="str">
        <f aca="false">IF(B29="","",IFERROR(INDEX(Номенклатура!$K:$K,MATCH(B29,Номенклатура!$A:$A,0)),0))</f>
        <v/>
      </c>
      <c r="G29" s="27"/>
      <c r="H29" s="21" t="str">
        <f aca="false">IF(D29="","",D29*E29*G29)</f>
        <v/>
      </c>
      <c r="I29" s="21" t="str">
        <f aca="false">IF(D29="","",D29*E29-D29*F29-H29)</f>
        <v/>
      </c>
      <c r="J29" s="23"/>
      <c r="K29" s="23"/>
      <c r="L29" s="23"/>
    </row>
    <row r="30" customFormat="false" ht="15" hidden="false" customHeight="false" outlineLevel="0" collapsed="false">
      <c r="A30" s="23"/>
      <c r="B30" s="23"/>
      <c r="C30" s="25" t="str">
        <f aca="false">IF(B30="","",IFERROR(INDEX(Номенклатура!$B:$B,MATCH(B30,Номенклатура!$A:$A,0)),""))</f>
        <v/>
      </c>
      <c r="D30" s="23"/>
      <c r="E30" s="26"/>
      <c r="F30" s="21" t="str">
        <f aca="false">IF(B30="","",IFERROR(INDEX(Номенклатура!$K:$K,MATCH(B30,Номенклатура!$A:$A,0)),0))</f>
        <v/>
      </c>
      <c r="G30" s="27"/>
      <c r="H30" s="21" t="str">
        <f aca="false">IF(D30="","",D30*E30*G30)</f>
        <v/>
      </c>
      <c r="I30" s="21" t="str">
        <f aca="false">IF(D30="","",D30*E30-D30*F30-H30)</f>
        <v/>
      </c>
      <c r="J30" s="23"/>
      <c r="K30" s="23"/>
      <c r="L30" s="23"/>
    </row>
    <row r="31" customFormat="false" ht="15" hidden="false" customHeight="false" outlineLevel="0" collapsed="false">
      <c r="A31" s="23"/>
      <c r="B31" s="23"/>
      <c r="C31" s="25" t="str">
        <f aca="false">IF(B31="","",IFERROR(INDEX(Номенклатура!$B:$B,MATCH(B31,Номенклатура!$A:$A,0)),""))</f>
        <v/>
      </c>
      <c r="D31" s="23"/>
      <c r="E31" s="26"/>
      <c r="F31" s="21" t="str">
        <f aca="false">IF(B31="","",IFERROR(INDEX(Номенклатура!$K:$K,MATCH(B31,Номенклатура!$A:$A,0)),0))</f>
        <v/>
      </c>
      <c r="G31" s="27"/>
      <c r="H31" s="21" t="str">
        <f aca="false">IF(D31="","",D31*E31*G31)</f>
        <v/>
      </c>
      <c r="I31" s="21" t="str">
        <f aca="false">IF(D31="","",D31*E31-D31*F31-H31)</f>
        <v/>
      </c>
      <c r="J31" s="23"/>
      <c r="K31" s="23"/>
      <c r="L31" s="23"/>
    </row>
    <row r="32" customFormat="false" ht="15" hidden="false" customHeight="false" outlineLevel="0" collapsed="false">
      <c r="A32" s="23"/>
      <c r="B32" s="23"/>
      <c r="C32" s="25" t="str">
        <f aca="false">IF(B32="","",IFERROR(INDEX(Номенклатура!$B:$B,MATCH(B32,Номенклатура!$A:$A,0)),""))</f>
        <v/>
      </c>
      <c r="D32" s="23"/>
      <c r="E32" s="26"/>
      <c r="F32" s="21" t="str">
        <f aca="false">IF(B32="","",IFERROR(INDEX(Номенклатура!$K:$K,MATCH(B32,Номенклатура!$A:$A,0)),0))</f>
        <v/>
      </c>
      <c r="G32" s="27"/>
      <c r="H32" s="21" t="str">
        <f aca="false">IF(D32="","",D32*E32*G32)</f>
        <v/>
      </c>
      <c r="I32" s="21" t="str">
        <f aca="false">IF(D32="","",D32*E32-D32*F32-H32)</f>
        <v/>
      </c>
      <c r="J32" s="23"/>
      <c r="K32" s="23"/>
      <c r="L32" s="23"/>
    </row>
    <row r="33" customFormat="false" ht="15" hidden="false" customHeight="false" outlineLevel="0" collapsed="false">
      <c r="A33" s="23"/>
      <c r="B33" s="23"/>
      <c r="C33" s="25" t="str">
        <f aca="false">IF(B33="","",IFERROR(INDEX(Номенклатура!$B:$B,MATCH(B33,Номенклатура!$A:$A,0)),""))</f>
        <v/>
      </c>
      <c r="D33" s="23"/>
      <c r="E33" s="26"/>
      <c r="F33" s="21" t="str">
        <f aca="false">IF(B33="","",IFERROR(INDEX(Номенклатура!$K:$K,MATCH(B33,Номенклатура!$A:$A,0)),0))</f>
        <v/>
      </c>
      <c r="G33" s="27"/>
      <c r="H33" s="21" t="str">
        <f aca="false">IF(D33="","",D33*E33*G33)</f>
        <v/>
      </c>
      <c r="I33" s="21" t="str">
        <f aca="false">IF(D33="","",D33*E33-D33*F33-H33)</f>
        <v/>
      </c>
      <c r="J33" s="23"/>
      <c r="K33" s="23"/>
      <c r="L33" s="23"/>
    </row>
    <row r="34" customFormat="false" ht="15" hidden="false" customHeight="false" outlineLevel="0" collapsed="false">
      <c r="A34" s="23"/>
      <c r="B34" s="23"/>
      <c r="C34" s="25" t="str">
        <f aca="false">IF(B34="","",IFERROR(INDEX(Номенклатура!$B:$B,MATCH(B34,Номенклатура!$A:$A,0)),""))</f>
        <v/>
      </c>
      <c r="D34" s="23"/>
      <c r="E34" s="26"/>
      <c r="F34" s="21" t="str">
        <f aca="false">IF(B34="","",IFERROR(INDEX(Номенклатура!$K:$K,MATCH(B34,Номенклатура!$A:$A,0)),0))</f>
        <v/>
      </c>
      <c r="G34" s="27"/>
      <c r="H34" s="21" t="str">
        <f aca="false">IF(D34="","",D34*E34*G34)</f>
        <v/>
      </c>
      <c r="I34" s="21" t="str">
        <f aca="false">IF(D34="","",D34*E34-D34*F34-H34)</f>
        <v/>
      </c>
      <c r="J34" s="23"/>
      <c r="K34" s="23"/>
      <c r="L34" s="23"/>
    </row>
    <row r="35" customFormat="false" ht="15" hidden="false" customHeight="false" outlineLevel="0" collapsed="false">
      <c r="A35" s="23"/>
      <c r="B35" s="23"/>
      <c r="C35" s="25" t="str">
        <f aca="false">IF(B35="","",IFERROR(INDEX(Номенклатура!$B:$B,MATCH(B35,Номенклатура!$A:$A,0)),""))</f>
        <v/>
      </c>
      <c r="D35" s="23"/>
      <c r="E35" s="26"/>
      <c r="F35" s="21" t="str">
        <f aca="false">IF(B35="","",IFERROR(INDEX(Номенклатура!$K:$K,MATCH(B35,Номенклатура!$A:$A,0)),0))</f>
        <v/>
      </c>
      <c r="G35" s="27"/>
      <c r="H35" s="21" t="str">
        <f aca="false">IF(D35="","",D35*E35*G35)</f>
        <v/>
      </c>
      <c r="I35" s="21" t="str">
        <f aca="false">IF(D35="","",D35*E35-D35*F35-H35)</f>
        <v/>
      </c>
      <c r="J35" s="23"/>
      <c r="K35" s="23"/>
      <c r="L35" s="23"/>
    </row>
    <row r="36" customFormat="false" ht="15" hidden="false" customHeight="false" outlineLevel="0" collapsed="false">
      <c r="A36" s="23"/>
      <c r="B36" s="23"/>
      <c r="C36" s="25" t="str">
        <f aca="false">IF(B36="","",IFERROR(INDEX(Номенклатура!$B:$B,MATCH(B36,Номенклатура!$A:$A,0)),""))</f>
        <v/>
      </c>
      <c r="D36" s="23"/>
      <c r="E36" s="26"/>
      <c r="F36" s="21" t="str">
        <f aca="false">IF(B36="","",IFERROR(INDEX(Номенклатура!$K:$K,MATCH(B36,Номенклатура!$A:$A,0)),0))</f>
        <v/>
      </c>
      <c r="G36" s="27"/>
      <c r="H36" s="21" t="str">
        <f aca="false">IF(D36="","",D36*E36*G36)</f>
        <v/>
      </c>
      <c r="I36" s="21" t="str">
        <f aca="false">IF(D36="","",D36*E36-D36*F36-H36)</f>
        <v/>
      </c>
      <c r="J36" s="23"/>
      <c r="K36" s="23"/>
      <c r="L36" s="23"/>
    </row>
    <row r="37" customFormat="false" ht="15" hidden="false" customHeight="false" outlineLevel="0" collapsed="false">
      <c r="A37" s="23"/>
      <c r="B37" s="23"/>
      <c r="C37" s="25" t="str">
        <f aca="false">IF(B37="","",IFERROR(INDEX(Номенклатура!$B:$B,MATCH(B37,Номенклатура!$A:$A,0)),""))</f>
        <v/>
      </c>
      <c r="D37" s="23"/>
      <c r="E37" s="26"/>
      <c r="F37" s="21" t="str">
        <f aca="false">IF(B37="","",IFERROR(INDEX(Номенклатура!$K:$K,MATCH(B37,Номенклатура!$A:$A,0)),0))</f>
        <v/>
      </c>
      <c r="G37" s="27"/>
      <c r="H37" s="21" t="str">
        <f aca="false">IF(D37="","",D37*E37*G37)</f>
        <v/>
      </c>
      <c r="I37" s="21" t="str">
        <f aca="false">IF(D37="","",D37*E37-D37*F37-H37)</f>
        <v/>
      </c>
      <c r="J37" s="23"/>
      <c r="K37" s="23"/>
      <c r="L37" s="23"/>
    </row>
    <row r="38" customFormat="false" ht="15" hidden="false" customHeight="false" outlineLevel="0" collapsed="false">
      <c r="A38" s="23"/>
      <c r="B38" s="23"/>
      <c r="C38" s="25" t="str">
        <f aca="false">IF(B38="","",IFERROR(INDEX(Номенклатура!$B:$B,MATCH(B38,Номенклатура!$A:$A,0)),""))</f>
        <v/>
      </c>
      <c r="D38" s="23"/>
      <c r="E38" s="26"/>
      <c r="F38" s="21" t="str">
        <f aca="false">IF(B38="","",IFERROR(INDEX(Номенклатура!$K:$K,MATCH(B38,Номенклатура!$A:$A,0)),0))</f>
        <v/>
      </c>
      <c r="G38" s="27"/>
      <c r="H38" s="21" t="str">
        <f aca="false">IF(D38="","",D38*E38*G38)</f>
        <v/>
      </c>
      <c r="I38" s="21" t="str">
        <f aca="false">IF(D38="","",D38*E38-D38*F38-H38)</f>
        <v/>
      </c>
      <c r="J38" s="23"/>
      <c r="K38" s="23"/>
      <c r="L38" s="23"/>
    </row>
    <row r="39" customFormat="false" ht="15" hidden="false" customHeight="false" outlineLevel="0" collapsed="false">
      <c r="A39" s="23"/>
      <c r="B39" s="23"/>
      <c r="C39" s="25" t="str">
        <f aca="false">IF(B39="","",IFERROR(INDEX(Номенклатура!$B:$B,MATCH(B39,Номенклатура!$A:$A,0)),""))</f>
        <v/>
      </c>
      <c r="D39" s="23"/>
      <c r="E39" s="26"/>
      <c r="F39" s="21" t="str">
        <f aca="false">IF(B39="","",IFERROR(INDEX(Номенклатура!$K:$K,MATCH(B39,Номенклатура!$A:$A,0)),0))</f>
        <v/>
      </c>
      <c r="G39" s="27"/>
      <c r="H39" s="21" t="str">
        <f aca="false">IF(D39="","",D39*E39*G39)</f>
        <v/>
      </c>
      <c r="I39" s="21" t="str">
        <f aca="false">IF(D39="","",D39*E39-D39*F39-H39)</f>
        <v/>
      </c>
      <c r="J39" s="23"/>
      <c r="K39" s="23"/>
      <c r="L39" s="23"/>
    </row>
  </sheetData>
  <dataValidations count="1">
    <dataValidation allowBlank="true" errorStyle="stop" operator="between" showDropDown="false" showErrorMessage="false" showInputMessage="false" sqref="J2:J200" type="list">
      <formula1>"Сайт,Директ,Instagram,Telegram,OLX"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7" min="5" style="0" width="16"/>
    <col collapsed="false" customWidth="true" hidden="false" outlineLevel="0" max="8" min="8" style="0" width="40"/>
  </cols>
  <sheetData>
    <row r="1" customFormat="false" ht="23.85" hidden="false" customHeight="false" outlineLevel="0" collapsed="false">
      <c r="A1" s="13" t="s">
        <v>67</v>
      </c>
      <c r="B1" s="13" t="s">
        <v>33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45</v>
      </c>
    </row>
    <row r="2" customFormat="false" ht="15" hidden="false" customHeight="false" outlineLevel="0" collapsed="false">
      <c r="A2" s="28" t="s">
        <v>93</v>
      </c>
      <c r="B2" s="28"/>
      <c r="C2" s="28"/>
      <c r="D2" s="28"/>
      <c r="E2" s="29"/>
      <c r="F2" s="2" t="s">
        <v>94</v>
      </c>
    </row>
    <row r="3" customFormat="false" ht="15" hidden="false" customHeight="false" outlineLevel="0" collapsed="false">
      <c r="A3" s="14" t="s">
        <v>95</v>
      </c>
      <c r="B3" s="14" t="s">
        <v>46</v>
      </c>
      <c r="C3" s="14" t="n">
        <v>3</v>
      </c>
      <c r="D3" s="14" t="n">
        <v>60</v>
      </c>
      <c r="E3" s="16" t="n">
        <f aca="false">C3*D3</f>
        <v>180</v>
      </c>
      <c r="F3" s="14" t="n">
        <v>1</v>
      </c>
      <c r="G3" s="14" t="s">
        <v>48</v>
      </c>
      <c r="H3" s="14" t="s">
        <v>75</v>
      </c>
    </row>
    <row r="4" customFormat="false" ht="15" hidden="false" customHeight="false" outlineLevel="0" collapsed="false">
      <c r="A4" s="23"/>
      <c r="B4" s="23"/>
      <c r="C4" s="23"/>
      <c r="D4" s="26"/>
      <c r="E4" s="21" t="str">
        <f aca="false">IF(C4="","",C4*D4)</f>
        <v/>
      </c>
      <c r="F4" s="23"/>
      <c r="G4" s="23"/>
      <c r="H4" s="23"/>
    </row>
    <row r="5" customFormat="false" ht="15" hidden="false" customHeight="false" outlineLevel="0" collapsed="false">
      <c r="A5" s="23"/>
      <c r="B5" s="23"/>
      <c r="C5" s="23"/>
      <c r="D5" s="26"/>
      <c r="E5" s="21" t="str">
        <f aca="false">IF(C5="","",C5*D5)</f>
        <v/>
      </c>
      <c r="F5" s="23"/>
      <c r="G5" s="23"/>
      <c r="H5" s="23"/>
    </row>
    <row r="6" customFormat="false" ht="15" hidden="false" customHeight="false" outlineLevel="0" collapsed="false">
      <c r="A6" s="23"/>
      <c r="B6" s="23"/>
      <c r="C6" s="23"/>
      <c r="D6" s="26"/>
      <c r="E6" s="21" t="str">
        <f aca="false">IF(C6="","",C6*D6)</f>
        <v/>
      </c>
      <c r="F6" s="23"/>
      <c r="G6" s="23"/>
      <c r="H6" s="23"/>
    </row>
    <row r="7" customFormat="false" ht="15" hidden="false" customHeight="false" outlineLevel="0" collapsed="false">
      <c r="A7" s="23"/>
      <c r="B7" s="23"/>
      <c r="C7" s="23"/>
      <c r="D7" s="26"/>
      <c r="E7" s="21" t="str">
        <f aca="false">IF(C7="","",C7*D7)</f>
        <v/>
      </c>
      <c r="F7" s="23"/>
      <c r="G7" s="23"/>
      <c r="H7" s="23"/>
    </row>
    <row r="8" customFormat="false" ht="15" hidden="false" customHeight="false" outlineLevel="0" collapsed="false">
      <c r="A8" s="23"/>
      <c r="B8" s="23"/>
      <c r="C8" s="23"/>
      <c r="D8" s="26"/>
      <c r="E8" s="21" t="str">
        <f aca="false">IF(C8="","",C8*D8)</f>
        <v/>
      </c>
      <c r="F8" s="23"/>
      <c r="G8" s="23"/>
      <c r="H8" s="23"/>
    </row>
    <row r="9" customFormat="false" ht="15" hidden="false" customHeight="false" outlineLevel="0" collapsed="false">
      <c r="A9" s="23"/>
      <c r="B9" s="23"/>
      <c r="C9" s="23"/>
      <c r="D9" s="26"/>
      <c r="E9" s="21" t="str">
        <f aca="false">IF(C9="","",C9*D9)</f>
        <v/>
      </c>
      <c r="F9" s="23"/>
      <c r="G9" s="23"/>
      <c r="H9" s="23"/>
    </row>
    <row r="10" customFormat="false" ht="15" hidden="false" customHeight="false" outlineLevel="0" collapsed="false">
      <c r="A10" s="23"/>
      <c r="B10" s="23"/>
      <c r="C10" s="23"/>
      <c r="D10" s="26"/>
      <c r="E10" s="21" t="str">
        <f aca="false">IF(C10="","",C10*D10)</f>
        <v/>
      </c>
      <c r="F10" s="23"/>
      <c r="G10" s="23"/>
      <c r="H10" s="23"/>
    </row>
    <row r="11" customFormat="false" ht="15" hidden="false" customHeight="false" outlineLevel="0" collapsed="false">
      <c r="A11" s="23"/>
      <c r="B11" s="23"/>
      <c r="C11" s="23"/>
      <c r="D11" s="26"/>
      <c r="E11" s="21" t="str">
        <f aca="false">IF(C11="","",C11*D11)</f>
        <v/>
      </c>
      <c r="F11" s="23"/>
      <c r="G11" s="23"/>
      <c r="H11" s="23"/>
    </row>
    <row r="12" customFormat="false" ht="15" hidden="false" customHeight="false" outlineLevel="0" collapsed="false">
      <c r="A12" s="23"/>
      <c r="B12" s="23"/>
      <c r="C12" s="23"/>
      <c r="D12" s="26"/>
      <c r="E12" s="21" t="str">
        <f aca="false">IF(C12="","",C12*D12)</f>
        <v/>
      </c>
      <c r="F12" s="23"/>
      <c r="G12" s="23"/>
      <c r="H12" s="23"/>
    </row>
    <row r="13" customFormat="false" ht="15" hidden="false" customHeight="false" outlineLevel="0" collapsed="false">
      <c r="A13" s="23"/>
      <c r="B13" s="23"/>
      <c r="C13" s="23"/>
      <c r="D13" s="26"/>
      <c r="E13" s="21" t="str">
        <f aca="false">IF(C13="","",C13*D13)</f>
        <v/>
      </c>
      <c r="F13" s="23"/>
      <c r="G13" s="23"/>
      <c r="H13" s="23"/>
    </row>
    <row r="14" customFormat="false" ht="15" hidden="false" customHeight="false" outlineLevel="0" collapsed="false">
      <c r="A14" s="23"/>
      <c r="B14" s="23"/>
      <c r="C14" s="23"/>
      <c r="D14" s="26"/>
      <c r="E14" s="21" t="str">
        <f aca="false">IF(C14="","",C14*D14)</f>
        <v/>
      </c>
      <c r="F14" s="23"/>
      <c r="G14" s="23"/>
      <c r="H14" s="23"/>
    </row>
    <row r="15" customFormat="false" ht="15" hidden="false" customHeight="false" outlineLevel="0" collapsed="false">
      <c r="A15" s="23"/>
      <c r="B15" s="23"/>
      <c r="C15" s="23"/>
      <c r="D15" s="26"/>
      <c r="E15" s="21" t="str">
        <f aca="false">IF(C15="","",C15*D15)</f>
        <v/>
      </c>
      <c r="F15" s="23"/>
      <c r="G15" s="23"/>
      <c r="H15" s="23"/>
    </row>
    <row r="16" customFormat="false" ht="15" hidden="false" customHeight="false" outlineLevel="0" collapsed="false">
      <c r="A16" s="23"/>
      <c r="B16" s="23"/>
      <c r="C16" s="23"/>
      <c r="D16" s="26"/>
      <c r="E16" s="21" t="str">
        <f aca="false">IF(C16="","",C16*D16)</f>
        <v/>
      </c>
      <c r="F16" s="23"/>
      <c r="G16" s="23"/>
      <c r="H16" s="23"/>
    </row>
    <row r="17" customFormat="false" ht="15" hidden="false" customHeight="false" outlineLevel="0" collapsed="false">
      <c r="A17" s="23"/>
      <c r="B17" s="23"/>
      <c r="C17" s="23"/>
      <c r="D17" s="26"/>
      <c r="E17" s="21" t="str">
        <f aca="false">IF(C17="","",C17*D17)</f>
        <v/>
      </c>
      <c r="F17" s="23"/>
      <c r="G17" s="23"/>
      <c r="H17" s="23"/>
    </row>
    <row r="18" customFormat="false" ht="15" hidden="false" customHeight="false" outlineLevel="0" collapsed="false">
      <c r="A18" s="23"/>
      <c r="B18" s="23"/>
      <c r="C18" s="23"/>
      <c r="D18" s="26"/>
      <c r="E18" s="21" t="str">
        <f aca="false">IF(C18="","",C18*D18)</f>
        <v/>
      </c>
      <c r="F18" s="23"/>
      <c r="G18" s="23"/>
      <c r="H18" s="23"/>
    </row>
    <row r="19" customFormat="false" ht="15" hidden="false" customHeight="false" outlineLevel="0" collapsed="false">
      <c r="A19" s="23"/>
      <c r="B19" s="23"/>
      <c r="C19" s="23"/>
      <c r="D19" s="26"/>
      <c r="E19" s="21" t="str">
        <f aca="false">IF(C19="","",C19*D19)</f>
        <v/>
      </c>
      <c r="F19" s="23"/>
      <c r="G19" s="23"/>
      <c r="H19" s="23"/>
    </row>
    <row r="20" customFormat="false" ht="15" hidden="false" customHeight="false" outlineLevel="0" collapsed="false">
      <c r="A20" s="23"/>
      <c r="B20" s="23"/>
      <c r="C20" s="23"/>
      <c r="D20" s="26"/>
      <c r="E20" s="21" t="str">
        <f aca="false">IF(C20="","",C20*D20)</f>
        <v/>
      </c>
      <c r="F20" s="23"/>
      <c r="G20" s="23"/>
      <c r="H20" s="23"/>
    </row>
    <row r="21" customFormat="false" ht="15" hidden="false" customHeight="false" outlineLevel="0" collapsed="false">
      <c r="A21" s="23"/>
      <c r="B21" s="23"/>
      <c r="C21" s="23"/>
      <c r="D21" s="26"/>
      <c r="E21" s="21" t="str">
        <f aca="false">IF(C21="","",C21*D21)</f>
        <v/>
      </c>
      <c r="F21" s="23"/>
      <c r="G21" s="23"/>
      <c r="H21" s="23"/>
    </row>
    <row r="22" customFormat="false" ht="15" hidden="false" customHeight="false" outlineLevel="0" collapsed="false">
      <c r="A22" s="23"/>
      <c r="B22" s="23"/>
      <c r="C22" s="23"/>
      <c r="D22" s="26"/>
      <c r="E22" s="21" t="str">
        <f aca="false">IF(C22="","",C22*D22)</f>
        <v/>
      </c>
      <c r="F22" s="23"/>
      <c r="G22" s="23"/>
      <c r="H22" s="23"/>
    </row>
    <row r="23" customFormat="false" ht="15" hidden="false" customHeight="false" outlineLevel="0" collapsed="false">
      <c r="A23" s="23"/>
      <c r="B23" s="23"/>
      <c r="C23" s="23"/>
      <c r="D23" s="26"/>
      <c r="E23" s="21" t="str">
        <f aca="false">IF(C23="","",C23*D23)</f>
        <v/>
      </c>
      <c r="F23" s="23"/>
      <c r="G23" s="23"/>
      <c r="H23" s="23"/>
    </row>
    <row r="24" customFormat="false" ht="15" hidden="false" customHeight="false" outlineLevel="0" collapsed="false">
      <c r="A24" s="23"/>
      <c r="B24" s="23"/>
      <c r="C24" s="23"/>
      <c r="D24" s="26"/>
      <c r="E24" s="21" t="str">
        <f aca="false">IF(C24="","",C24*D24)</f>
        <v/>
      </c>
      <c r="F24" s="23"/>
      <c r="G24" s="23"/>
      <c r="H24" s="23"/>
    </row>
    <row r="25" customFormat="false" ht="15" hidden="false" customHeight="false" outlineLevel="0" collapsed="false">
      <c r="A25" s="23"/>
      <c r="B25" s="23"/>
      <c r="C25" s="23"/>
      <c r="D25" s="26"/>
      <c r="E25" s="21" t="str">
        <f aca="false">IF(C25="","",C25*D25)</f>
        <v/>
      </c>
      <c r="F25" s="23"/>
      <c r="G25" s="23"/>
      <c r="H25" s="23"/>
    </row>
    <row r="26" customFormat="false" ht="15" hidden="false" customHeight="false" outlineLevel="0" collapsed="false">
      <c r="A26" s="23"/>
      <c r="B26" s="23"/>
      <c r="C26" s="23"/>
      <c r="D26" s="26"/>
      <c r="E26" s="21" t="str">
        <f aca="false">IF(C26="","",C26*D26)</f>
        <v/>
      </c>
      <c r="F26" s="23"/>
      <c r="G26" s="23"/>
      <c r="H26" s="23"/>
    </row>
    <row r="27" customFormat="false" ht="15" hidden="false" customHeight="false" outlineLevel="0" collapsed="false">
      <c r="A27" s="23"/>
      <c r="B27" s="23"/>
      <c r="C27" s="23"/>
      <c r="D27" s="26"/>
      <c r="E27" s="21" t="str">
        <f aca="false">IF(C27="","",C27*D27)</f>
        <v/>
      </c>
      <c r="F27" s="23"/>
      <c r="G27" s="23"/>
      <c r="H27" s="23"/>
    </row>
    <row r="28" customFormat="false" ht="15" hidden="false" customHeight="false" outlineLevel="0" collapsed="false">
      <c r="A28" s="23"/>
      <c r="B28" s="23"/>
      <c r="C28" s="23"/>
      <c r="D28" s="26"/>
      <c r="E28" s="21" t="str">
        <f aca="false">IF(C28="","",C28*D28)</f>
        <v/>
      </c>
      <c r="F28" s="23"/>
      <c r="G28" s="23"/>
      <c r="H28" s="23"/>
    </row>
    <row r="29" customFormat="false" ht="15" hidden="false" customHeight="false" outlineLevel="0" collapsed="false">
      <c r="A29" s="23"/>
      <c r="B29" s="23"/>
      <c r="C29" s="23"/>
      <c r="D29" s="26"/>
      <c r="E29" s="21" t="str">
        <f aca="false">IF(C29="","",C29*D29)</f>
        <v/>
      </c>
      <c r="F29" s="23"/>
      <c r="G29" s="23"/>
      <c r="H29" s="23"/>
    </row>
    <row r="30" customFormat="false" ht="15" hidden="false" customHeight="false" outlineLevel="0" collapsed="false">
      <c r="A30" s="23"/>
      <c r="B30" s="23"/>
      <c r="C30" s="23"/>
      <c r="D30" s="26"/>
      <c r="E30" s="21" t="str">
        <f aca="false">IF(C30="","",C30*D30)</f>
        <v/>
      </c>
      <c r="F30" s="23"/>
      <c r="G30" s="23"/>
      <c r="H30" s="23"/>
    </row>
    <row r="31" customFormat="false" ht="15" hidden="false" customHeight="false" outlineLevel="0" collapsed="false">
      <c r="A31" s="23"/>
      <c r="B31" s="23"/>
      <c r="C31" s="23"/>
      <c r="D31" s="26"/>
      <c r="E31" s="21" t="str">
        <f aca="false">IF(C31="","",C31*D31)</f>
        <v/>
      </c>
      <c r="F31" s="23"/>
      <c r="G31" s="23"/>
      <c r="H31" s="23"/>
    </row>
    <row r="32" customFormat="false" ht="15" hidden="false" customHeight="false" outlineLevel="0" collapsed="false">
      <c r="A32" s="23"/>
      <c r="B32" s="23"/>
      <c r="C32" s="23"/>
      <c r="D32" s="26"/>
      <c r="E32" s="21" t="str">
        <f aca="false">IF(C32="","",C32*D32)</f>
        <v/>
      </c>
      <c r="F32" s="23"/>
      <c r="G32" s="23"/>
      <c r="H32" s="23"/>
    </row>
    <row r="33" customFormat="false" ht="15" hidden="false" customHeight="false" outlineLevel="0" collapsed="false">
      <c r="A33" s="23"/>
      <c r="B33" s="23"/>
      <c r="C33" s="23"/>
      <c r="D33" s="26"/>
      <c r="E33" s="21" t="str">
        <f aca="false">IF(C33="","",C33*D33)</f>
        <v/>
      </c>
      <c r="F33" s="23"/>
      <c r="G33" s="23"/>
      <c r="H33" s="23"/>
    </row>
    <row r="34" customFormat="false" ht="15" hidden="false" customHeight="false" outlineLevel="0" collapsed="false">
      <c r="A34" s="23"/>
      <c r="B34" s="23"/>
      <c r="C34" s="23"/>
      <c r="D34" s="26"/>
      <c r="E34" s="21" t="str">
        <f aca="false">IF(C34="","",C34*D34)</f>
        <v/>
      </c>
      <c r="F34" s="23"/>
      <c r="G34" s="23"/>
      <c r="H34" s="23"/>
    </row>
    <row r="35" customFormat="false" ht="15" hidden="false" customHeight="false" outlineLevel="0" collapsed="false">
      <c r="A35" s="23"/>
      <c r="B35" s="23"/>
      <c r="C35" s="23"/>
      <c r="D35" s="26"/>
      <c r="E35" s="21" t="str">
        <f aca="false">IF(C35="","",C35*D35)</f>
        <v/>
      </c>
      <c r="F35" s="23"/>
      <c r="G35" s="23"/>
      <c r="H35" s="23"/>
    </row>
    <row r="36" customFormat="false" ht="15" hidden="false" customHeight="false" outlineLevel="0" collapsed="false">
      <c r="A36" s="23"/>
      <c r="B36" s="23"/>
      <c r="C36" s="23"/>
      <c r="D36" s="26"/>
      <c r="E36" s="21" t="str">
        <f aca="false">IF(C36="","",C36*D36)</f>
        <v/>
      </c>
      <c r="F36" s="23"/>
      <c r="G36" s="23"/>
      <c r="H36" s="23"/>
    </row>
    <row r="37" customFormat="false" ht="15" hidden="false" customHeight="false" outlineLevel="0" collapsed="false">
      <c r="A37" s="23"/>
      <c r="B37" s="23"/>
      <c r="C37" s="23"/>
      <c r="D37" s="26"/>
      <c r="E37" s="21" t="str">
        <f aca="false">IF(C37="","",C37*D37)</f>
        <v/>
      </c>
      <c r="F37" s="23"/>
      <c r="G37" s="23"/>
      <c r="H37" s="23"/>
    </row>
    <row r="38" customFormat="false" ht="15" hidden="false" customHeight="false" outlineLevel="0" collapsed="false">
      <c r="A38" s="23"/>
      <c r="B38" s="23"/>
      <c r="C38" s="23"/>
      <c r="D38" s="26"/>
      <c r="E38" s="21" t="str">
        <f aca="false">IF(C38="","",C38*D38)</f>
        <v/>
      </c>
      <c r="F38" s="23"/>
      <c r="G38" s="23"/>
      <c r="H38" s="23"/>
    </row>
    <row r="39" customFormat="false" ht="15" hidden="false" customHeight="false" outlineLevel="0" collapsed="false">
      <c r="A39" s="23"/>
      <c r="B39" s="23"/>
      <c r="C39" s="23"/>
      <c r="D39" s="26"/>
      <c r="E39" s="21" t="str">
        <f aca="false">IF(C39="","",C39*D39)</f>
        <v/>
      </c>
      <c r="F39" s="23"/>
      <c r="G39" s="23"/>
      <c r="H39" s="23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23.85" hidden="false" customHeight="false" outlineLevel="0" collapsed="false">
      <c r="A1" s="13" t="s">
        <v>33</v>
      </c>
      <c r="B1" s="13" t="s">
        <v>76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</row>
    <row r="2" customFormat="false" ht="15" hidden="false" customHeight="false" outlineLevel="0" collapsed="false">
      <c r="A2" s="25" t="str">
        <f aca="false">Номенклатура!A2</f>
        <v>ПРИКЛАД-001</v>
      </c>
      <c r="B2" s="25" t="str">
        <f aca="false">IF(A2="","",Номенклатура!B2)</f>
        <v>Приклад розрахунку (ілюстративні цифри)</v>
      </c>
      <c r="C2" s="25" t="n">
        <f aca="false">IF(A2="","",SUMIF('Друк-лог'!$B:$B,A2,'Друк-лог'!$C:$C))</f>
        <v>5</v>
      </c>
      <c r="D2" s="25" t="n">
        <f aca="false">IF(A2="","",SUMIF('Друк-лог'!$B:$B,A2,'Друк-лог'!$E:$E))</f>
        <v>1</v>
      </c>
      <c r="E2" s="25" t="n">
        <f aca="false">IF(A2="","",SUMIF(Продажі!$B:$B,A2,Продажі!$D:$D))</f>
        <v>1</v>
      </c>
      <c r="F2" s="25" t="n">
        <f aca="false">IF(A2="","",SUMIF(Маркетингові_плюшки!$B:$B,A2,Маркетингові_плюшки!$F:$F))</f>
        <v>1</v>
      </c>
      <c r="G2" s="25" t="n">
        <f aca="false">IF(A2="","",C2-D2-E2-F2)</f>
        <v>2</v>
      </c>
    </row>
    <row r="3" customFormat="false" ht="15" hidden="false" customHeight="false" outlineLevel="0" collapsed="false">
      <c r="A3" s="25" t="str">
        <f aca="false">Номенклатура!A3</f>
        <v>(призначити SKU)</v>
      </c>
      <c r="B3" s="25" t="str">
        <f aca="false">IF(A3="","",Номенклатура!B3)</f>
        <v>Фігурка Пікачу (сидить, стиль манги)</v>
      </c>
      <c r="C3" s="25" t="n">
        <f aca="false">IF(A3="","",SUMIF('Друк-лог'!$B:$B,A3,'Друк-лог'!$C:$C))</f>
        <v>0</v>
      </c>
      <c r="D3" s="25" t="n">
        <f aca="false">IF(A3="","",SUMIF('Друк-лог'!$B:$B,A3,'Друк-лог'!$E:$E))</f>
        <v>0</v>
      </c>
      <c r="E3" s="25" t="n">
        <f aca="false">IF(A3="","",SUMIF(Продажі!$B:$B,A3,Продажі!$D:$D))</f>
        <v>0</v>
      </c>
      <c r="F3" s="25" t="n">
        <f aca="false">IF(A3="","",SUMIF(Маркетингові_плюшки!$B:$B,A3,Маркетингові_плюшки!$F:$F))</f>
        <v>0</v>
      </c>
      <c r="G3" s="25" t="n">
        <f aca="false">IF(A3="","",C3-D3-E3-F3)</f>
        <v>0</v>
      </c>
    </row>
    <row r="4" customFormat="false" ht="15" hidden="false" customHeight="false" outlineLevel="0" collapsed="false">
      <c r="A4" s="25" t="str">
        <f aca="false">Номенклатура!A4</f>
        <v>(призначити SKU)</v>
      </c>
      <c r="B4" s="25" t="str">
        <f aca="false">IF(A4="","",Номенклатура!B4)</f>
        <v>Фігурка Генгар</v>
      </c>
      <c r="C4" s="25" t="n">
        <f aca="false">IF(A4="","",SUMIF('Друк-лог'!$B:$B,A4,'Друк-лог'!$C:$C))</f>
        <v>0</v>
      </c>
      <c r="D4" s="25" t="n">
        <f aca="false">IF(A4="","",SUMIF('Друк-лог'!$B:$B,A4,'Друк-лог'!$E:$E))</f>
        <v>0</v>
      </c>
      <c r="E4" s="25" t="n">
        <f aca="false">IF(A4="","",SUMIF(Продажі!$B:$B,A4,Продажі!$D:$D))</f>
        <v>0</v>
      </c>
      <c r="F4" s="25" t="n">
        <f aca="false">IF(A4="","",SUMIF(Маркетингові_плюшки!$B:$B,A4,Маркетингові_плюшки!$F:$F))</f>
        <v>0</v>
      </c>
      <c r="G4" s="25" t="n">
        <f aca="false">IF(A4="","",C4-D4-E4-F4)</f>
        <v>0</v>
      </c>
    </row>
    <row r="5" customFormat="false" ht="15" hidden="false" customHeight="false" outlineLevel="0" collapsed="false">
      <c r="A5" s="25" t="str">
        <f aca="false">Номенклатура!A5</f>
        <v>(призначити SKU)</v>
      </c>
      <c r="B5" s="25" t="str">
        <f aca="false">IF(A5="","",Номенклатура!B5)</f>
        <v>Кейс-покебол «Мяу» (Mew) з хвостом</v>
      </c>
      <c r="C5" s="25" t="n">
        <f aca="false">IF(A5="","",SUMIF('Друк-лог'!$B:$B,A5,'Друк-лог'!$C:$C))</f>
        <v>0</v>
      </c>
      <c r="D5" s="25" t="n">
        <f aca="false">IF(A5="","",SUMIF('Друк-лог'!$B:$B,A5,'Друк-лог'!$E:$E))</f>
        <v>0</v>
      </c>
      <c r="E5" s="25" t="n">
        <f aca="false">IF(A5="","",SUMIF(Продажі!$B:$B,A5,Продажі!$D:$D))</f>
        <v>0</v>
      </c>
      <c r="F5" s="25" t="n">
        <f aca="false">IF(A5="","",SUMIF(Маркетингові_плюшки!$B:$B,A5,Маркетингові_плюшки!$F:$F))</f>
        <v>0</v>
      </c>
      <c r="G5" s="25" t="n">
        <f aca="false">IF(A5="","",C5-D5-E5-F5)</f>
        <v>0</v>
      </c>
    </row>
    <row r="6" customFormat="false" ht="15" hidden="false" customHeight="false" outlineLevel="0" collapsed="false">
      <c r="A6" s="25" t="str">
        <f aca="false">Номенклатура!A6</f>
        <v>(призначити SKU)</v>
      </c>
      <c r="B6" s="25" t="str">
        <f aca="false">IF(A6="","",Номенклатура!B6)</f>
        <v>Підставка-олівниця «Дітто» (Ditto)</v>
      </c>
      <c r="C6" s="25" t="n">
        <f aca="false">IF(A6="","",SUMIF('Друк-лог'!$B:$B,A6,'Друк-лог'!$C:$C))</f>
        <v>0</v>
      </c>
      <c r="D6" s="25" t="n">
        <f aca="false">IF(A6="","",SUMIF('Друк-лог'!$B:$B,A6,'Друк-лог'!$E:$E))</f>
        <v>0</v>
      </c>
      <c r="E6" s="25" t="n">
        <f aca="false">IF(A6="","",SUMIF(Продажі!$B:$B,A6,Продажі!$D:$D))</f>
        <v>0</v>
      </c>
      <c r="F6" s="25" t="n">
        <f aca="false">IF(A6="","",SUMIF(Маркетингові_плюшки!$B:$B,A6,Маркетингові_плюшки!$F:$F))</f>
        <v>0</v>
      </c>
      <c r="G6" s="25" t="n">
        <f aca="false">IF(A6="","",C6-D6-E6-F6)</f>
        <v>0</v>
      </c>
    </row>
    <row r="7" customFormat="false" ht="15" hidden="false" customHeight="false" outlineLevel="0" collapsed="false">
      <c r="A7" s="25" t="str">
        <f aca="false">Номенклатура!A7</f>
        <v>(призначити SKU)</v>
      </c>
      <c r="B7" s="25" t="str">
        <f aca="false">IF(A7="","",Номенклатура!B7)</f>
        <v>Дек-бокс «Покебол» (набір кольорів)</v>
      </c>
      <c r="C7" s="25" t="n">
        <f aca="false">IF(A7="","",SUMIF('Друк-лог'!$B:$B,A7,'Друк-лог'!$C:$C))</f>
        <v>0</v>
      </c>
      <c r="D7" s="25" t="n">
        <f aca="false">IF(A7="","",SUMIF('Друк-лог'!$B:$B,A7,'Друк-лог'!$E:$E))</f>
        <v>0</v>
      </c>
      <c r="E7" s="25" t="n">
        <f aca="false">IF(A7="","",SUMIF(Продажі!$B:$B,A7,Продажі!$D:$D))</f>
        <v>0</v>
      </c>
      <c r="F7" s="25" t="n">
        <f aca="false">IF(A7="","",SUMIF(Маркетингові_плюшки!$B:$B,A7,Маркетингові_плюшки!$F:$F))</f>
        <v>0</v>
      </c>
      <c r="G7" s="25" t="n">
        <f aca="false">IF(A7="","",C7-D7-E7-F7)</f>
        <v>0</v>
      </c>
    </row>
    <row r="8" customFormat="false" ht="15" hidden="false" customHeight="false" outlineLevel="0" collapsed="false">
      <c r="A8" s="25" t="str">
        <f aca="false">Номенклатура!A8</f>
        <v>(призначити SKU)</v>
      </c>
      <c r="B8" s="25" t="str">
        <f aca="false">IF(A8="","",Номенклатура!B8)</f>
        <v>Брелок/фігурка «Онікс» (Onix)</v>
      </c>
      <c r="C8" s="25" t="n">
        <f aca="false">IF(A8="","",SUMIF('Друк-лог'!$B:$B,A8,'Друк-лог'!$C:$C))</f>
        <v>0</v>
      </c>
      <c r="D8" s="25" t="n">
        <f aca="false">IF(A8="","",SUMIF('Друк-лог'!$B:$B,A8,'Друк-лог'!$E:$E))</f>
        <v>0</v>
      </c>
      <c r="E8" s="25" t="n">
        <f aca="false">IF(A8="","",SUMIF(Продажі!$B:$B,A8,Продажі!$D:$D))</f>
        <v>0</v>
      </c>
      <c r="F8" s="25" t="n">
        <f aca="false">IF(A8="","",SUMIF(Маркетингові_плюшки!$B:$B,A8,Маркетингові_плюшки!$F:$F))</f>
        <v>0</v>
      </c>
      <c r="G8" s="25" t="n">
        <f aca="false">IF(A8="","",C8-D8-E8-F8)</f>
        <v>0</v>
      </c>
    </row>
    <row r="9" customFormat="false" ht="15" hidden="false" customHeight="false" outlineLevel="0" collapsed="false">
      <c r="A9" s="25" t="str">
        <f aca="false">Номенклатура!A9</f>
        <v>(призначити SKU)</v>
      </c>
      <c r="B9" s="25" t="str">
        <f aca="false">IF(A9="","",Номенклатура!B9)</f>
        <v>Фігурка Пікачу «крізь стіну» (декор)</v>
      </c>
      <c r="C9" s="25" t="n">
        <f aca="false">IF(A9="","",SUMIF('Друк-лог'!$B:$B,A9,'Друк-лог'!$C:$C))</f>
        <v>0</v>
      </c>
      <c r="D9" s="25" t="n">
        <f aca="false">IF(A9="","",SUMIF('Друк-лог'!$B:$B,A9,'Друк-лог'!$E:$E))</f>
        <v>0</v>
      </c>
      <c r="E9" s="25" t="n">
        <f aca="false">IF(A9="","",SUMIF(Продажі!$B:$B,A9,Продажі!$D:$D))</f>
        <v>0</v>
      </c>
      <c r="F9" s="25" t="n">
        <f aca="false">IF(A9="","",SUMIF(Маркетингові_плюшки!$B:$B,A9,Маркетингові_плюшки!$F:$F))</f>
        <v>0</v>
      </c>
      <c r="G9" s="25" t="n">
        <f aca="false">IF(A9="","",C9-D9-E9-F9)</f>
        <v>0</v>
      </c>
    </row>
    <row r="10" customFormat="false" ht="15" hidden="false" customHeight="false" outlineLevel="0" collapsed="false">
      <c r="A10" s="25" t="n">
        <f aca="false">Номенклатура!A10</f>
        <v>0</v>
      </c>
      <c r="B10" s="25" t="str">
        <f aca="false">IF(A10="","",Номенклатура!B10)</f>
        <v/>
      </c>
      <c r="C10" s="25" t="str">
        <f aca="false">IF(A10="","",SUMIF('Друк-лог'!$B:$B,A10,'Друк-лог'!$C:$C))</f>
        <v/>
      </c>
      <c r="D10" s="25" t="str">
        <f aca="false">IF(A10="","",SUMIF('Друк-лог'!$B:$B,A10,'Друк-лог'!$E:$E))</f>
        <v/>
      </c>
      <c r="E10" s="25" t="str">
        <f aca="false">IF(A10="","",SUMIF(Продажі!$B:$B,A10,Продажі!$D:$D))</f>
        <v/>
      </c>
      <c r="F10" s="25" t="str">
        <f aca="false">IF(A10="","",SUMIF(Маркетингові_плюшки!$B:$B,A10,Маркетингові_плюшки!$F:$F))</f>
        <v/>
      </c>
      <c r="G10" s="25" t="str">
        <f aca="false">IF(A10="","",C10-D10-E10-F10)</f>
        <v/>
      </c>
    </row>
    <row r="11" customFormat="false" ht="15" hidden="false" customHeight="false" outlineLevel="0" collapsed="false">
      <c r="A11" s="25" t="n">
        <f aca="false">Номенклатура!A11</f>
        <v>0</v>
      </c>
      <c r="B11" s="25" t="str">
        <f aca="false">IF(A11="","",Номенклатура!B11)</f>
        <v/>
      </c>
      <c r="C11" s="25" t="str">
        <f aca="false">IF(A11="","",SUMIF('Друк-лог'!$B:$B,A11,'Друк-лог'!$C:$C))</f>
        <v/>
      </c>
      <c r="D11" s="25" t="str">
        <f aca="false">IF(A11="","",SUMIF('Друк-лог'!$B:$B,A11,'Друк-лог'!$E:$E))</f>
        <v/>
      </c>
      <c r="E11" s="25" t="str">
        <f aca="false">IF(A11="","",SUMIF(Продажі!$B:$B,A11,Продажі!$D:$D))</f>
        <v/>
      </c>
      <c r="F11" s="25" t="str">
        <f aca="false">IF(A11="","",SUMIF(Маркетингові_плюшки!$B:$B,A11,Маркетингові_плюшки!$F:$F))</f>
        <v/>
      </c>
      <c r="G11" s="25" t="str">
        <f aca="false">IF(A11="","",C11-D11-E11-F11)</f>
        <v/>
      </c>
    </row>
    <row r="12" customFormat="false" ht="15" hidden="false" customHeight="false" outlineLevel="0" collapsed="false">
      <c r="A12" s="25" t="n">
        <f aca="false">Номенклатура!A12</f>
        <v>0</v>
      </c>
      <c r="B12" s="25" t="str">
        <f aca="false">IF(A12="","",Номенклатура!B12)</f>
        <v/>
      </c>
      <c r="C12" s="25" t="str">
        <f aca="false">IF(A12="","",SUMIF('Друк-лог'!$B:$B,A12,'Друк-лог'!$C:$C))</f>
        <v/>
      </c>
      <c r="D12" s="25" t="str">
        <f aca="false">IF(A12="","",SUMIF('Друк-лог'!$B:$B,A12,'Друк-лог'!$E:$E))</f>
        <v/>
      </c>
      <c r="E12" s="25" t="str">
        <f aca="false">IF(A12="","",SUMIF(Продажі!$B:$B,A12,Продажі!$D:$D))</f>
        <v/>
      </c>
      <c r="F12" s="25" t="str">
        <f aca="false">IF(A12="","",SUMIF(Маркетингові_плюшки!$B:$B,A12,Маркетингові_плюшки!$F:$F))</f>
        <v/>
      </c>
      <c r="G12" s="25" t="str">
        <f aca="false">IF(A12="","",C12-D12-E12-F12)</f>
        <v/>
      </c>
    </row>
    <row r="13" customFormat="false" ht="15" hidden="false" customHeight="false" outlineLevel="0" collapsed="false">
      <c r="A13" s="25" t="n">
        <f aca="false">Номенклатура!A13</f>
        <v>0</v>
      </c>
      <c r="B13" s="25" t="str">
        <f aca="false">IF(A13="","",Номенклатура!B13)</f>
        <v/>
      </c>
      <c r="C13" s="25" t="str">
        <f aca="false">IF(A13="","",SUMIF('Друк-лог'!$B:$B,A13,'Друк-лог'!$C:$C))</f>
        <v/>
      </c>
      <c r="D13" s="25" t="str">
        <f aca="false">IF(A13="","",SUMIF('Друк-лог'!$B:$B,A13,'Друк-лог'!$E:$E))</f>
        <v/>
      </c>
      <c r="E13" s="25" t="str">
        <f aca="false">IF(A13="","",SUMIF(Продажі!$B:$B,A13,Продажі!$D:$D))</f>
        <v/>
      </c>
      <c r="F13" s="25" t="str">
        <f aca="false">IF(A13="","",SUMIF(Маркетингові_плюшки!$B:$B,A13,Маркетингові_плюшки!$F:$F))</f>
        <v/>
      </c>
      <c r="G13" s="25" t="str">
        <f aca="false">IF(A13="","",C13-D13-E13-F13)</f>
        <v/>
      </c>
    </row>
    <row r="14" customFormat="false" ht="15" hidden="false" customHeight="false" outlineLevel="0" collapsed="false">
      <c r="A14" s="25" t="n">
        <f aca="false">Номенклатура!A14</f>
        <v>0</v>
      </c>
      <c r="B14" s="25" t="str">
        <f aca="false">IF(A14="","",Номенклатура!B14)</f>
        <v/>
      </c>
      <c r="C14" s="25" t="str">
        <f aca="false">IF(A14="","",SUMIF('Друк-лог'!$B:$B,A14,'Друк-лог'!$C:$C))</f>
        <v/>
      </c>
      <c r="D14" s="25" t="str">
        <f aca="false">IF(A14="","",SUMIF('Друк-лог'!$B:$B,A14,'Друк-лог'!$E:$E))</f>
        <v/>
      </c>
      <c r="E14" s="25" t="str">
        <f aca="false">IF(A14="","",SUMIF(Продажі!$B:$B,A14,Продажі!$D:$D))</f>
        <v/>
      </c>
      <c r="F14" s="25" t="str">
        <f aca="false">IF(A14="","",SUMIF(Маркетингові_плюшки!$B:$B,A14,Маркетингові_плюшки!$F:$F))</f>
        <v/>
      </c>
      <c r="G14" s="25" t="str">
        <f aca="false">IF(A14="","",C14-D14-E14-F14)</f>
        <v/>
      </c>
    </row>
    <row r="15" customFormat="false" ht="15" hidden="false" customHeight="false" outlineLevel="0" collapsed="false">
      <c r="A15" s="25" t="n">
        <f aca="false">Номенклатура!A15</f>
        <v>0</v>
      </c>
      <c r="B15" s="25" t="str">
        <f aca="false">IF(A15="","",Номенклатура!B15)</f>
        <v/>
      </c>
      <c r="C15" s="25" t="str">
        <f aca="false">IF(A15="","",SUMIF('Друк-лог'!$B:$B,A15,'Друк-лог'!$C:$C))</f>
        <v/>
      </c>
      <c r="D15" s="25" t="str">
        <f aca="false">IF(A15="","",SUMIF('Друк-лог'!$B:$B,A15,'Друк-лог'!$E:$E))</f>
        <v/>
      </c>
      <c r="E15" s="25" t="str">
        <f aca="false">IF(A15="","",SUMIF(Продажі!$B:$B,A15,Продажі!$D:$D))</f>
        <v/>
      </c>
      <c r="F15" s="25" t="str">
        <f aca="false">IF(A15="","",SUMIF(Маркетингові_плюшки!$B:$B,A15,Маркетингові_плюшки!$F:$F))</f>
        <v/>
      </c>
      <c r="G15" s="25" t="str">
        <f aca="false">IF(A15="","",C15-D15-E15-F15)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1" min="9" style="0" width="12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30" t="s">
        <v>101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3" customFormat="false" ht="35.05" hidden="false" customHeight="false" outlineLevel="0" collapsed="false">
      <c r="A3" s="13" t="s">
        <v>33</v>
      </c>
      <c r="B3" s="13" t="s">
        <v>76</v>
      </c>
      <c r="C3" s="13" t="s">
        <v>43</v>
      </c>
      <c r="D3" s="13" t="s">
        <v>39</v>
      </c>
      <c r="E3" s="13" t="s">
        <v>80</v>
      </c>
      <c r="F3" s="13" t="s">
        <v>102</v>
      </c>
      <c r="G3" s="13" t="s">
        <v>103</v>
      </c>
      <c r="H3" s="13" t="s">
        <v>104</v>
      </c>
      <c r="I3" s="13" t="s">
        <v>105</v>
      </c>
      <c r="J3" s="13" t="s">
        <v>106</v>
      </c>
      <c r="K3" s="13" t="s">
        <v>107</v>
      </c>
      <c r="L3" s="13" t="s">
        <v>108</v>
      </c>
    </row>
    <row r="4" customFormat="false" ht="15" hidden="false" customHeight="false" outlineLevel="0" collapsed="false">
      <c r="A4" s="25" t="str">
        <f aca="false">Номенклатура!A2</f>
        <v>ПРИКЛАД-001</v>
      </c>
      <c r="B4" s="25" t="str">
        <f aca="false">IF(A4="","",Номенклатура!B2)</f>
        <v>Приклад розрахунку (ілюстративні цифри)</v>
      </c>
      <c r="C4" s="21" t="n">
        <f aca="false">IF(A4="","",Номенклатура!K2)</f>
        <v>84</v>
      </c>
      <c r="D4" s="25" t="n">
        <f aca="false">IF(A4="","",Номенклатура!G2)</f>
        <v>4</v>
      </c>
      <c r="E4" s="31"/>
      <c r="F4" s="32"/>
      <c r="G4" s="32"/>
      <c r="H4" s="32"/>
      <c r="I4" s="21" t="str">
        <f aca="false">IF(OR(A4="",F4=""),"",F4-C4-F4*E4)</f>
        <v/>
      </c>
      <c r="J4" s="21" t="str">
        <f aca="false">IF(OR(A4="",G4=""),"",G4-C4-G4*E4)</f>
        <v/>
      </c>
      <c r="K4" s="21" t="str">
        <f aca="false">IF(OR(A4="",H4=""),"",H4-C4-H4*E4)</f>
        <v/>
      </c>
      <c r="L4" s="21" t="str">
        <f aca="false">IF(OR(D4="",D4=0,J4=""),"",J4/D4)</f>
        <v/>
      </c>
    </row>
    <row r="5" customFormat="false" ht="15" hidden="false" customHeight="false" outlineLevel="0" collapsed="false">
      <c r="A5" s="25" t="str">
        <f aca="false">Номенклатура!A3</f>
        <v>(призначити SKU)</v>
      </c>
      <c r="B5" s="25" t="str">
        <f aca="false">IF(A5="","",Номенклатура!B3)</f>
        <v>Фігурка Пікачу (сидить, стиль манги)</v>
      </c>
      <c r="C5" s="21" t="str">
        <f aca="false">IF(A5="","",Номенклатура!K3)</f>
        <v/>
      </c>
      <c r="D5" s="25" t="n">
        <f aca="false">IF(A5="","",Номенклатура!G3)</f>
        <v>0</v>
      </c>
      <c r="E5" s="31"/>
      <c r="F5" s="32"/>
      <c r="G5" s="32"/>
      <c r="H5" s="32"/>
      <c r="I5" s="21" t="str">
        <f aca="false">IF(OR(A5="",F5=""),"",F5-C5-F5*E5)</f>
        <v/>
      </c>
      <c r="J5" s="21" t="str">
        <f aca="false">IF(OR(A5="",G5=""),"",G5-C5-G5*E5)</f>
        <v/>
      </c>
      <c r="K5" s="21" t="str">
        <f aca="false">IF(OR(A5="",H5=""),"",H5-C5-H5*E5)</f>
        <v/>
      </c>
      <c r="L5" s="21" t="str">
        <f aca="false">IF(OR(D5="",D5=0,J5=""),"",J5/D5)</f>
        <v/>
      </c>
    </row>
    <row r="6" customFormat="false" ht="15" hidden="false" customHeight="false" outlineLevel="0" collapsed="false">
      <c r="A6" s="25" t="str">
        <f aca="false">Номенклатура!A4</f>
        <v>(призначити SKU)</v>
      </c>
      <c r="B6" s="25" t="str">
        <f aca="false">IF(A6="","",Номенклатура!B4)</f>
        <v>Фігурка Генгар</v>
      </c>
      <c r="C6" s="21" t="str">
        <f aca="false">IF(A6="","",Номенклатура!K4)</f>
        <v/>
      </c>
      <c r="D6" s="25" t="n">
        <f aca="false">IF(A6="","",Номенклатура!G4)</f>
        <v>0</v>
      </c>
      <c r="E6" s="31"/>
      <c r="F6" s="32"/>
      <c r="G6" s="32"/>
      <c r="H6" s="32"/>
      <c r="I6" s="21" t="str">
        <f aca="false">IF(OR(A6="",F6=""),"",F6-C6-F6*E6)</f>
        <v/>
      </c>
      <c r="J6" s="21" t="str">
        <f aca="false">IF(OR(A6="",G6=""),"",G6-C6-G6*E6)</f>
        <v/>
      </c>
      <c r="K6" s="21" t="str">
        <f aca="false">IF(OR(A6="",H6=""),"",H6-C6-H6*E6)</f>
        <v/>
      </c>
      <c r="L6" s="21" t="str">
        <f aca="false">IF(OR(D6="",D6=0,J6=""),"",J6/D6)</f>
        <v/>
      </c>
    </row>
    <row r="7" customFormat="false" ht="15" hidden="false" customHeight="false" outlineLevel="0" collapsed="false">
      <c r="A7" s="25" t="str">
        <f aca="false">Номенклатура!A5</f>
        <v>(призначити SKU)</v>
      </c>
      <c r="B7" s="25" t="str">
        <f aca="false">IF(A7="","",Номенклатура!B5)</f>
        <v>Кейс-покебол «Мяу» (Mew) з хвостом</v>
      </c>
      <c r="C7" s="21" t="str">
        <f aca="false">IF(A7="","",Номенклатура!K5)</f>
        <v/>
      </c>
      <c r="D7" s="25" t="n">
        <f aca="false">IF(A7="","",Номенклатура!G5)</f>
        <v>0</v>
      </c>
      <c r="E7" s="31"/>
      <c r="F7" s="32"/>
      <c r="G7" s="32"/>
      <c r="H7" s="32"/>
      <c r="I7" s="21" t="str">
        <f aca="false">IF(OR(A7="",F7=""),"",F7-C7-F7*E7)</f>
        <v/>
      </c>
      <c r="J7" s="21" t="str">
        <f aca="false">IF(OR(A7="",G7=""),"",G7-C7-G7*E7)</f>
        <v/>
      </c>
      <c r="K7" s="21" t="str">
        <f aca="false">IF(OR(A7="",H7=""),"",H7-C7-H7*E7)</f>
        <v/>
      </c>
      <c r="L7" s="21" t="str">
        <f aca="false">IF(OR(D7="",D7=0,J7=""),"",J7/D7)</f>
        <v/>
      </c>
    </row>
    <row r="8" customFormat="false" ht="15" hidden="false" customHeight="false" outlineLevel="0" collapsed="false">
      <c r="A8" s="25" t="str">
        <f aca="false">Номенклатура!A6</f>
        <v>(призначити SKU)</v>
      </c>
      <c r="B8" s="25" t="str">
        <f aca="false">IF(A8="","",Номенклатура!B6)</f>
        <v>Підставка-олівниця «Дітто» (Ditto)</v>
      </c>
      <c r="C8" s="21" t="str">
        <f aca="false">IF(A8="","",Номенклатура!K6)</f>
        <v/>
      </c>
      <c r="D8" s="25" t="n">
        <f aca="false">IF(A8="","",Номенклатура!G6)</f>
        <v>0</v>
      </c>
      <c r="E8" s="31"/>
      <c r="F8" s="32"/>
      <c r="G8" s="32"/>
      <c r="H8" s="32"/>
      <c r="I8" s="21" t="str">
        <f aca="false">IF(OR(A8="",F8=""),"",F8-C8-F8*E8)</f>
        <v/>
      </c>
      <c r="J8" s="21" t="str">
        <f aca="false">IF(OR(A8="",G8=""),"",G8-C8-G8*E8)</f>
        <v/>
      </c>
      <c r="K8" s="21" t="str">
        <f aca="false">IF(OR(A8="",H8=""),"",H8-C8-H8*E8)</f>
        <v/>
      </c>
      <c r="L8" s="21" t="str">
        <f aca="false">IF(OR(D8="",D8=0,J8=""),"",J8/D8)</f>
        <v/>
      </c>
    </row>
    <row r="9" customFormat="false" ht="15" hidden="false" customHeight="false" outlineLevel="0" collapsed="false">
      <c r="A9" s="25" t="str">
        <f aca="false">Номенклатура!A7</f>
        <v>(призначити SKU)</v>
      </c>
      <c r="B9" s="25" t="str">
        <f aca="false">IF(A9="","",Номенклатура!B7)</f>
        <v>Дек-бокс «Покебол» (набір кольорів)</v>
      </c>
      <c r="C9" s="21" t="str">
        <f aca="false">IF(A9="","",Номенклатура!K7)</f>
        <v/>
      </c>
      <c r="D9" s="25" t="n">
        <f aca="false">IF(A9="","",Номенклатура!G7)</f>
        <v>0</v>
      </c>
      <c r="E9" s="31"/>
      <c r="F9" s="32"/>
      <c r="G9" s="32"/>
      <c r="H9" s="32"/>
      <c r="I9" s="21" t="str">
        <f aca="false">IF(OR(A9="",F9=""),"",F9-C9-F9*E9)</f>
        <v/>
      </c>
      <c r="J9" s="21" t="str">
        <f aca="false">IF(OR(A9="",G9=""),"",G9-C9-G9*E9)</f>
        <v/>
      </c>
      <c r="K9" s="21" t="str">
        <f aca="false">IF(OR(A9="",H9=""),"",H9-C9-H9*E9)</f>
        <v/>
      </c>
      <c r="L9" s="21" t="str">
        <f aca="false">IF(OR(D9="",D9=0,J9=""),"",J9/D9)</f>
        <v/>
      </c>
    </row>
    <row r="10" customFormat="false" ht="15" hidden="false" customHeight="false" outlineLevel="0" collapsed="false">
      <c r="A10" s="25" t="str">
        <f aca="false">Номенклатура!A8</f>
        <v>(призначити SKU)</v>
      </c>
      <c r="B10" s="25" t="str">
        <f aca="false">IF(A10="","",Номенклатура!B8)</f>
        <v>Брелок/фігурка «Онікс» (Onix)</v>
      </c>
      <c r="C10" s="21" t="str">
        <f aca="false">IF(A10="","",Номенклатура!K8)</f>
        <v/>
      </c>
      <c r="D10" s="25" t="n">
        <f aca="false">IF(A10="","",Номенклатура!G8)</f>
        <v>0</v>
      </c>
      <c r="E10" s="31"/>
      <c r="F10" s="32"/>
      <c r="G10" s="32"/>
      <c r="H10" s="32"/>
      <c r="I10" s="21" t="str">
        <f aca="false">IF(OR(A10="",F10=""),"",F10-C10-F10*E10)</f>
        <v/>
      </c>
      <c r="J10" s="21" t="str">
        <f aca="false">IF(OR(A10="",G10=""),"",G10-C10-G10*E10)</f>
        <v/>
      </c>
      <c r="K10" s="21" t="str">
        <f aca="false">IF(OR(A10="",H10=""),"",H10-C10-H10*E10)</f>
        <v/>
      </c>
      <c r="L10" s="21" t="str">
        <f aca="false">IF(OR(D10="",D10=0,J10=""),"",J10/D10)</f>
        <v/>
      </c>
    </row>
    <row r="11" customFormat="false" ht="15" hidden="false" customHeight="false" outlineLevel="0" collapsed="false">
      <c r="A11" s="25" t="str">
        <f aca="false">Номенклатура!A9</f>
        <v>(призначити SKU)</v>
      </c>
      <c r="B11" s="25" t="str">
        <f aca="false">IF(A11="","",Номенклатура!B9)</f>
        <v>Фігурка Пікачу «крізь стіну» (декор)</v>
      </c>
      <c r="C11" s="21" t="str">
        <f aca="false">IF(A11="","",Номенклатура!K9)</f>
        <v/>
      </c>
      <c r="D11" s="25" t="n">
        <f aca="false">IF(A11="","",Номенклатура!G9)</f>
        <v>0</v>
      </c>
      <c r="E11" s="31"/>
      <c r="F11" s="32"/>
      <c r="G11" s="32"/>
      <c r="H11" s="32"/>
      <c r="I11" s="21" t="str">
        <f aca="false">IF(OR(A11="",F11=""),"",F11-C11-F11*E11)</f>
        <v/>
      </c>
      <c r="J11" s="21" t="str">
        <f aca="false">IF(OR(A11="",G11=""),"",G11-C11-G11*E11)</f>
        <v/>
      </c>
      <c r="K11" s="21" t="str">
        <f aca="false">IF(OR(A11="",H11=""),"",H11-C11-H11*E11)</f>
        <v/>
      </c>
      <c r="L11" s="21" t="str">
        <f aca="false">IF(OR(D11="",D11=0,J11=""),"",J11/D11)</f>
        <v/>
      </c>
    </row>
    <row r="12" customFormat="false" ht="15" hidden="false" customHeight="false" outlineLevel="0" collapsed="false">
      <c r="A12" s="25" t="n">
        <f aca="false">Номенклатура!A10</f>
        <v>0</v>
      </c>
      <c r="B12" s="25" t="str">
        <f aca="false">IF(A12="","",Номенклатура!B10)</f>
        <v/>
      </c>
      <c r="C12" s="21" t="str">
        <f aca="false">IF(A12="","",Номенклатура!K10)</f>
        <v/>
      </c>
      <c r="D12" s="25" t="str">
        <f aca="false">IF(A12="","",Номенклатура!G10)</f>
        <v/>
      </c>
      <c r="E12" s="31"/>
      <c r="F12" s="32"/>
      <c r="G12" s="32"/>
      <c r="H12" s="32"/>
      <c r="I12" s="21" t="str">
        <f aca="false">IF(OR(A12="",F12=""),"",F12-C12-F12*E12)</f>
        <v/>
      </c>
      <c r="J12" s="21" t="str">
        <f aca="false">IF(OR(A12="",G12=""),"",G12-C12-G12*E12)</f>
        <v/>
      </c>
      <c r="K12" s="21" t="str">
        <f aca="false">IF(OR(A12="",H12=""),"",H12-C12-H12*E12)</f>
        <v/>
      </c>
      <c r="L12" s="21" t="str">
        <f aca="false">IF(OR(D12="",D12=0,J12=""),"",J12/D12)</f>
        <v/>
      </c>
    </row>
    <row r="13" customFormat="false" ht="15" hidden="false" customHeight="false" outlineLevel="0" collapsed="false">
      <c r="A13" s="25" t="n">
        <f aca="false">Номенклатура!A11</f>
        <v>0</v>
      </c>
      <c r="B13" s="25" t="str">
        <f aca="false">IF(A13="","",Номенклатура!B11)</f>
        <v/>
      </c>
      <c r="C13" s="21" t="str">
        <f aca="false">IF(A13="","",Номенклатура!K11)</f>
        <v/>
      </c>
      <c r="D13" s="25" t="str">
        <f aca="false">IF(A13="","",Номенклатура!G11)</f>
        <v/>
      </c>
      <c r="E13" s="31"/>
      <c r="F13" s="32"/>
      <c r="G13" s="32"/>
      <c r="H13" s="32"/>
      <c r="I13" s="21" t="str">
        <f aca="false">IF(OR(A13="",F13=""),"",F13-C13-F13*E13)</f>
        <v/>
      </c>
      <c r="J13" s="21" t="str">
        <f aca="false">IF(OR(A13="",G13=""),"",G13-C13-G13*E13)</f>
        <v/>
      </c>
      <c r="K13" s="21" t="str">
        <f aca="false">IF(OR(A13="",H13=""),"",H13-C13-H13*E13)</f>
        <v/>
      </c>
      <c r="L13" s="21" t="str">
        <f aca="false">IF(OR(D13="",D13=0,J13=""),"",J13/D13)</f>
        <v/>
      </c>
    </row>
    <row r="14" customFormat="false" ht="15" hidden="false" customHeight="false" outlineLevel="0" collapsed="false">
      <c r="A14" s="25" t="n">
        <f aca="false">Номенклатура!A12</f>
        <v>0</v>
      </c>
      <c r="B14" s="25" t="str">
        <f aca="false">IF(A14="","",Номенклатура!B12)</f>
        <v/>
      </c>
      <c r="C14" s="21" t="str">
        <f aca="false">IF(A14="","",Номенклатура!K12)</f>
        <v/>
      </c>
      <c r="D14" s="25" t="str">
        <f aca="false">IF(A14="","",Номенклатура!G12)</f>
        <v/>
      </c>
      <c r="E14" s="31"/>
      <c r="F14" s="32"/>
      <c r="G14" s="32"/>
      <c r="H14" s="32"/>
      <c r="I14" s="21" t="str">
        <f aca="false">IF(OR(A14="",F14=""),"",F14-C14-F14*E14)</f>
        <v/>
      </c>
      <c r="J14" s="21" t="str">
        <f aca="false">IF(OR(A14="",G14=""),"",G14-C14-G14*E14)</f>
        <v/>
      </c>
      <c r="K14" s="21" t="str">
        <f aca="false">IF(OR(A14="",H14=""),"",H14-C14-H14*E14)</f>
        <v/>
      </c>
      <c r="L14" s="21" t="str">
        <f aca="false">IF(OR(D14="",D14=0,J14=""),"",J14/D14)</f>
        <v/>
      </c>
    </row>
    <row r="15" customFormat="false" ht="15" hidden="false" customHeight="false" outlineLevel="0" collapsed="false">
      <c r="A15" s="25" t="n">
        <f aca="false">Номенклатура!A13</f>
        <v>0</v>
      </c>
      <c r="B15" s="25" t="str">
        <f aca="false">IF(A15="","",Номенклатура!B13)</f>
        <v/>
      </c>
      <c r="C15" s="21" t="str">
        <f aca="false">IF(A15="","",Номенклатура!K13)</f>
        <v/>
      </c>
      <c r="D15" s="25" t="str">
        <f aca="false">IF(A15="","",Номенклатура!G13)</f>
        <v/>
      </c>
      <c r="E15" s="31"/>
      <c r="F15" s="32"/>
      <c r="G15" s="32"/>
      <c r="H15" s="32"/>
      <c r="I15" s="21" t="str">
        <f aca="false">IF(OR(A15="",F15=""),"",F15-C15-F15*E15)</f>
        <v/>
      </c>
      <c r="J15" s="21" t="str">
        <f aca="false">IF(OR(A15="",G15=""),"",G15-C15-G15*E15)</f>
        <v/>
      </c>
      <c r="K15" s="21" t="str">
        <f aca="false">IF(OR(A15="",H15=""),"",H15-C15-H15*E15)</f>
        <v/>
      </c>
      <c r="L15" s="21" t="str">
        <f aca="false">IF(OR(D15="",D15=0,J15=""),"",J15/D15)</f>
        <v/>
      </c>
    </row>
    <row r="16" customFormat="false" ht="15" hidden="false" customHeight="false" outlineLevel="0" collapsed="false">
      <c r="A16" s="25" t="n">
        <f aca="false">Номенклатура!A14</f>
        <v>0</v>
      </c>
      <c r="B16" s="25" t="str">
        <f aca="false">IF(A16="","",Номенклатура!B14)</f>
        <v/>
      </c>
      <c r="C16" s="21" t="str">
        <f aca="false">IF(A16="","",Номенклатура!K14)</f>
        <v/>
      </c>
      <c r="D16" s="25" t="str">
        <f aca="false">IF(A16="","",Номенклатура!G14)</f>
        <v/>
      </c>
      <c r="E16" s="31"/>
      <c r="F16" s="32"/>
      <c r="G16" s="32"/>
      <c r="H16" s="32"/>
      <c r="I16" s="21" t="str">
        <f aca="false">IF(OR(A16="",F16=""),"",F16-C16-F16*E16)</f>
        <v/>
      </c>
      <c r="J16" s="21" t="str">
        <f aca="false">IF(OR(A16="",G16=""),"",G16-C16-G16*E16)</f>
        <v/>
      </c>
      <c r="K16" s="21" t="str">
        <f aca="false">IF(OR(A16="",H16=""),"",H16-C16-H16*E16)</f>
        <v/>
      </c>
      <c r="L16" s="21" t="str">
        <f aca="false">IF(OR(D16="",D16=0,J16=""),"",J16/D16)</f>
        <v/>
      </c>
    </row>
    <row r="17" customFormat="false" ht="15" hidden="false" customHeight="false" outlineLevel="0" collapsed="false">
      <c r="A17" s="25" t="n">
        <f aca="false">Номенклатура!A15</f>
        <v>0</v>
      </c>
      <c r="B17" s="25" t="str">
        <f aca="false">IF(A17="","",Номенклатура!B15)</f>
        <v/>
      </c>
      <c r="C17" s="21" t="str">
        <f aca="false">IF(A17="","",Номенклатура!K15)</f>
        <v/>
      </c>
      <c r="D17" s="25" t="str">
        <f aca="false">IF(A17="","",Номенклатура!G15)</f>
        <v/>
      </c>
      <c r="E17" s="31"/>
      <c r="F17" s="32"/>
      <c r="G17" s="32"/>
      <c r="H17" s="32"/>
      <c r="I17" s="21" t="str">
        <f aca="false">IF(OR(A17="",F17=""),"",F17-C17-F17*E17)</f>
        <v/>
      </c>
      <c r="J17" s="21" t="str">
        <f aca="false">IF(OR(A17="",G17=""),"",G17-C17-G17*E17)</f>
        <v/>
      </c>
      <c r="K17" s="21" t="str">
        <f aca="false">IF(OR(A17="",H17=""),"",H17-C17-H17*E17)</f>
        <v/>
      </c>
      <c r="L17" s="21" t="str">
        <f aca="false">IF(OR(D17="",D17=0,J17=""),"",J17/D17)</f>
        <v/>
      </c>
    </row>
    <row r="19" customFormat="false" ht="17.35" hidden="false" customHeight="false" outlineLevel="0" collapsed="false">
      <c r="A19" s="30" t="s">
        <v>109</v>
      </c>
      <c r="B19" s="30"/>
      <c r="C19" s="30"/>
      <c r="D19" s="30"/>
      <c r="E19" s="30"/>
      <c r="F19" s="30"/>
    </row>
    <row r="20" customFormat="false" ht="30" hidden="false" customHeight="true" outlineLevel="0" collapsed="false">
      <c r="A20" s="33" t="s">
        <v>110</v>
      </c>
      <c r="B20" s="33"/>
      <c r="C20" s="33"/>
      <c r="D20" s="33"/>
      <c r="E20" s="33"/>
      <c r="F20" s="33"/>
    </row>
    <row r="21" customFormat="false" ht="23.85" hidden="false" customHeight="false" outlineLevel="0" collapsed="false">
      <c r="A21" s="13" t="s">
        <v>111</v>
      </c>
      <c r="B21" s="13" t="s">
        <v>112</v>
      </c>
      <c r="C21" s="13" t="s">
        <v>113</v>
      </c>
      <c r="D21" s="13" t="s">
        <v>114</v>
      </c>
      <c r="E21" s="13" t="s">
        <v>115</v>
      </c>
      <c r="F21" s="13" t="s">
        <v>116</v>
      </c>
    </row>
    <row r="22" customFormat="false" ht="102.2" hidden="false" customHeight="false" outlineLevel="0" collapsed="false">
      <c r="A22" s="17" t="s">
        <v>117</v>
      </c>
      <c r="B22" s="17" t="s">
        <v>118</v>
      </c>
      <c r="C22" s="17" t="n">
        <v>27.5</v>
      </c>
      <c r="D22" s="17" t="s">
        <v>119</v>
      </c>
      <c r="E22" s="17" t="s">
        <v>53</v>
      </c>
      <c r="F22" s="22" t="s">
        <v>120</v>
      </c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</row>
  </sheetData>
  <mergeCells count="3">
    <mergeCell ref="A1:L1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2026-07-28T09:57:47Z</dcterms:created>
  <dc:creator>openpyxl</dc:creator>
  <dc:description/>
  <dc:language>en-US</dc:language>
  <cp:lastModifiedBy/>
  <dcterms:modified xsi:type="dcterms:W3CDTF">2026-07-28T09:57:47Z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